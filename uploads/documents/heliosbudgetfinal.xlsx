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caryl\Downloads\"/>
    </mc:Choice>
  </mc:AlternateContent>
  <xr:revisionPtr revIDLastSave="0" documentId="8_{B73A8E86-EB62-403C-95A2-952688359E46}" xr6:coauthVersionLast="47" xr6:coauthVersionMax="47" xr10:uidLastSave="{00000000-0000-0000-0000-000000000000}"/>
  <bookViews>
    <workbookView xWindow="-108" yWindow="-108" windowWidth="23256" windowHeight="13896" firstSheet="2" activeTab="2" xr2:uid="{00000000-000D-0000-FFFF-FFFF00000000}"/>
  </bookViews>
  <sheets>
    <sheet name="Budget_Detail" sheetId="2" r:id="rId1"/>
    <sheet name="Validation_Checks" sheetId="3" r:id="rId2"/>
    <sheet name="Task_Budget" sheetId="4" r:id="rId3"/>
    <sheet name="Phase_Summary" sheetId="5" r:id="rId4"/>
    <sheet name="Monthly_Spend" sheetId="6" r:id="rId5"/>
    <sheet name="Labor_Hours_Est" sheetId="7" r:id="rId6"/>
    <sheet name="Source_Notes" sheetId="8" r:id="rId7"/>
    <sheet name="Contingency_Control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0" l="1"/>
  <c r="B8" i="10" s="1"/>
  <c r="B11" i="10" l="1"/>
  <c r="B10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Calibri"/>
          </rPr>
          <t>Built from the uploaded Helios workbook. Quantity was normalized to make each detail line mathematically consistent. Source URLs retained from the original estimate.</t>
        </r>
      </text>
    </comment>
  </commentList>
</comments>
</file>

<file path=xl/sharedStrings.xml><?xml version="1.0" encoding="utf-8"?>
<sst xmlns="http://schemas.openxmlformats.org/spreadsheetml/2006/main" count="1408" uniqueCount="428">
  <si>
    <t>Budget Detail</t>
  </si>
  <si>
    <t>WBS_L1</t>
  </si>
  <si>
    <t>WBS_Code</t>
  </si>
  <si>
    <t>WBS_Task</t>
  </si>
  <si>
    <t>Cost_Item</t>
  </si>
  <si>
    <t>Cost_Type</t>
  </si>
  <si>
    <t>Unit</t>
  </si>
  <si>
    <t>Quantity</t>
  </si>
  <si>
    <t>Unit_Price_USD</t>
  </si>
  <si>
    <t>Total_USD</t>
  </si>
  <si>
    <t>Cost_Basis</t>
  </si>
  <si>
    <t>Estimated_Labor_Hours</t>
  </si>
  <si>
    <t>Labor_Rate_Assumption_USD_per_hr</t>
  </si>
  <si>
    <t>Source_URL</t>
  </si>
  <si>
    <t>Notes</t>
  </si>
  <si>
    <t>1.2</t>
  </si>
  <si>
    <t xml:space="preserve">      Project Governance &amp; Controls</t>
  </si>
  <si>
    <t>Project controls software &amp; IT (scheduling, cost control)</t>
  </si>
  <si>
    <t>Soft Cost</t>
  </si>
  <si>
    <t>LS</t>
  </si>
  <si>
    <t>Lump Sum / Allowance</t>
  </si>
  <si>
    <t>https://www.bls.gov/ooh/business-and-financial/project-management-specialists.htm</t>
  </si>
  <si>
    <t>Licensing + implementation + training (placeholder).</t>
  </si>
  <si>
    <t>1.3</t>
  </si>
  <si>
    <t xml:space="preserve">      Project Administration</t>
  </si>
  <si>
    <t>Insurance (builder's risk, GL, professional liability) during construction</t>
  </si>
  <si>
    <t>https://www.energy.gov/eere/solar/solar-photovoltaic-system-cost-benchmarks</t>
  </si>
  <si>
    <t>Benchmark-based placeholder; varies by contracts and risk profile.</t>
  </si>
  <si>
    <t>Owner/Developer PMO labor (PM, controls, HSE, admin)</t>
  </si>
  <si>
    <t>Labor</t>
  </si>
  <si>
    <t>FTE-month</t>
  </si>
  <si>
    <t>Unit-based Labor</t>
  </si>
  <si>
    <t>Assume 8 FTE for 30 months at ~$150k/yr loaded rate (based on BLS PM specialist median + burden).</t>
  </si>
  <si>
    <t>1.4</t>
  </si>
  <si>
    <t xml:space="preserve">      Risk &amp; Issue Management</t>
  </si>
  <si>
    <t>Contingency reserve (10% of subtotal)</t>
  </si>
  <si>
    <t>Applied as overall cost reserve for uncertainty.</t>
  </si>
  <si>
    <t>Management reserve (5% of subtotal)</t>
  </si>
  <si>
    <t>Owner-controlled reserve.</t>
  </si>
  <si>
    <t>2.2.1</t>
  </si>
  <si>
    <t xml:space="preserve">         Negotiate land lease/purchase terms</t>
  </si>
  <si>
    <t>Land option/lease payments during development &amp; construction</t>
  </si>
  <si>
    <t>Acre-year</t>
  </si>
  <si>
    <t>Unit-based Material/Service</t>
  </si>
  <si>
    <t>https://www.sciencedirect.com/science/article/pii/S0301421525003416</t>
  </si>
  <si>
    <t>Assume 900 acres (≈6 acres/MW for 150 MW). Lease/option rate ~$1,000/acre-year based on reported ranges.</t>
  </si>
  <si>
    <t>2.2.3</t>
  </si>
  <si>
    <t xml:space="preserve">         Execute land agreements and record titles</t>
  </si>
  <si>
    <t>Title, survey, easements legal work</t>
  </si>
  <si>
    <t>https://docs.nlr.gov/docs/fy13osti/56290.pdf</t>
  </si>
  <si>
    <t>Includes legal, title insurance, recording fees.</t>
  </si>
  <si>
    <t>2.3.1</t>
  </si>
  <si>
    <t xml:space="preserve">         Baseline environmental surveys</t>
  </si>
  <si>
    <t>Baseline environmental surveys (flora/fauna, wetlands)</t>
  </si>
  <si>
    <t>2.3.2</t>
  </si>
  <si>
    <t xml:space="preserve">         Environmental Impact Assessment report</t>
  </si>
  <si>
    <t>Environmental Impact Assessment and permitting support</t>
  </si>
  <si>
    <t>2.3.3</t>
  </si>
  <si>
    <t xml:space="preserve">         Public consultation and stakeholder engagement</t>
  </si>
  <si>
    <t>Public consultation/stakeholder engagement</t>
  </si>
  <si>
    <t>2.4.1</t>
  </si>
  <si>
    <t xml:space="preserve">         Submit application</t>
  </si>
  <si>
    <t>Zoning/local permit application fees</t>
  </si>
  <si>
    <t>2.5.1</t>
  </si>
  <si>
    <t xml:space="preserve">         Submit interconnection request to Dominion/PJM</t>
  </si>
  <si>
    <t>Interconnection studies &amp; queue deposits (utility/ISO)</t>
  </si>
  <si>
    <t>3.1</t>
  </si>
  <si>
    <t xml:space="preserve">      Conceptual Design</t>
  </si>
  <si>
    <t>Conceptual engineering (site layout, preliminary SLDs)</t>
  </si>
  <si>
    <t>3.2.1</t>
  </si>
  <si>
    <t xml:space="preserve">         Issue for Submission</t>
  </si>
  <si>
    <t>Permit/zoning design package preparation</t>
  </si>
  <si>
    <t>3.3</t>
  </si>
  <si>
    <t xml:space="preserve">      Detailed Electrical &amp; Civil Design</t>
  </si>
  <si>
    <t>Detailed electrical &amp; civil design (IFC drawings)</t>
  </si>
  <si>
    <t>3.4</t>
  </si>
  <si>
    <t xml:space="preserve">      BESS System Design</t>
  </si>
  <si>
    <t>BESS system design (specs, layout, controls interfaces)</t>
  </si>
  <si>
    <t>https://docs.nrel.gov/docs/fy25osti/93281.pdf</t>
  </si>
  <si>
    <t>3.5</t>
  </si>
  <si>
    <t xml:space="preserve">      SCADA &amp; Communications Design</t>
  </si>
  <si>
    <t>SCADA &amp; communications design</t>
  </si>
  <si>
    <t>3.6</t>
  </si>
  <si>
    <t xml:space="preserve">      Design Reviews &amp; Approvals</t>
  </si>
  <si>
    <t>Independent design reviews (Owner's Engineer)</t>
  </si>
  <si>
    <t>4.1</t>
  </si>
  <si>
    <t xml:space="preserve">      Financial Modeling</t>
  </si>
  <si>
    <t>Financial modeling and owner's cost estimation support</t>
  </si>
  <si>
    <t>4.2</t>
  </si>
  <si>
    <t xml:space="preserve">      Power Purchase Agreement</t>
  </si>
  <si>
    <t>PPA negotiation legal &amp; advisory fees</t>
  </si>
  <si>
    <t>4.3</t>
  </si>
  <si>
    <t xml:space="preserve">      Tax Equity &amp; Capital Structure</t>
  </si>
  <si>
    <t>Tax equity structuring &amp; counsel</t>
  </si>
  <si>
    <t>4.4</t>
  </si>
  <si>
    <t xml:space="preserve">      Financial Close</t>
  </si>
  <si>
    <t>Lender/financing fees and due diligence (IE, insurance advisor)</t>
  </si>
  <si>
    <t>5.1</t>
  </si>
  <si>
    <t xml:space="preserve">      Procurement Strategy &amp; EPC</t>
  </si>
  <si>
    <t>EPC procurement strategy development</t>
  </si>
  <si>
    <t>5.2</t>
  </si>
  <si>
    <t xml:space="preserve">      Vendor Selection</t>
  </si>
  <si>
    <t>Vendor selection process (RFQs, evaluation, site visits)</t>
  </si>
  <si>
    <t>5.3</t>
  </si>
  <si>
    <t xml:space="preserve">      Contracting</t>
  </si>
  <si>
    <t>Contract negotiation &amp; drafting (EPC, supply, O&amp;M)</t>
  </si>
  <si>
    <t>5.4.1</t>
  </si>
  <si>
    <t xml:space="preserve">         Monitor module/tracker/inverter manufacturing</t>
  </si>
  <si>
    <t>Logistics &amp; expediting: PV/module/tracker/inverter shipping management</t>
  </si>
  <si>
    <t>Freight forwarding + expediting services (placeholder).</t>
  </si>
  <si>
    <t>5.4.2</t>
  </si>
  <si>
    <t xml:space="preserve">         Monitor BESS container/PCS manufacturing</t>
  </si>
  <si>
    <t>Logistics &amp; expediting: BESS shipping management</t>
  </si>
  <si>
    <t>6.1.1</t>
  </si>
  <si>
    <t xml:space="preserve">         Establish site offices, laydown areas, utilities</t>
  </si>
  <si>
    <t>Temporary facilities: site offices, laydown, utilities</t>
  </si>
  <si>
    <t>Direct Cost</t>
  </si>
  <si>
    <t>6.1.2</t>
  </si>
  <si>
    <t xml:space="preserve">         Site safety setup and access control</t>
  </si>
  <si>
    <t>Site safety setup, traffic control, access control</t>
  </si>
  <si>
    <t>6.2.1</t>
  </si>
  <si>
    <t xml:space="preserve">         Clearing and grubbing</t>
  </si>
  <si>
    <t>Clearing and grubbing</t>
  </si>
  <si>
    <t>Acre</t>
  </si>
  <si>
    <t>Unit cost placeholder; site-specific.</t>
  </si>
  <si>
    <t>6.2.2</t>
  </si>
  <si>
    <t xml:space="preserve">         Grading and drainage features</t>
  </si>
  <si>
    <t>Mass grading and drainage features</t>
  </si>
  <si>
    <t>MWdc</t>
  </si>
  <si>
    <t>Parametric placeholder.</t>
  </si>
  <si>
    <t>6.2.3</t>
  </si>
  <si>
    <t xml:space="preserve">         Internal roads and access improvements</t>
  </si>
  <si>
    <t>Internal roads and access improvements</t>
  </si>
  <si>
    <t>6.3.1.1</t>
  </si>
  <si>
    <t xml:space="preserve">            Pile driving for tracker foundations</t>
  </si>
  <si>
    <t>Pile driving for tracker foundations (labor + equipment)</t>
  </si>
  <si>
    <t>Includes pile supply &amp; driving.</t>
  </si>
  <si>
    <t>6.3.1.2</t>
  </si>
  <si>
    <t xml:space="preserve">            Inverter station foundations</t>
  </si>
  <si>
    <t>Inverter station foundations</t>
  </si>
  <si>
    <t>Each</t>
  </si>
  <si>
    <t>Assume 50 inverter stations.</t>
  </si>
  <si>
    <t>6.3.1.3</t>
  </si>
  <si>
    <t xml:space="preserve">            Substation foundations</t>
  </si>
  <si>
    <t>Substation foundations and yard prep</t>
  </si>
  <si>
    <t>6.3.2</t>
  </si>
  <si>
    <t xml:space="preserve">         Mounting structures installation</t>
  </si>
  <si>
    <t>Mounting structures installation labor (mechanical)</t>
  </si>
  <si>
    <t>https://www.bls.gov/ooh/management/construction-managers.htm</t>
  </si>
  <si>
    <t>Crew labor only; tracker hardware cost accounted separately.</t>
  </si>
  <si>
    <t>6.4.1</t>
  </si>
  <si>
    <t xml:space="preserve">         Perimeter fencing and gates</t>
  </si>
  <si>
    <t>Perimeter fencing and gates</t>
  </si>
  <si>
    <t>Mile</t>
  </si>
  <si>
    <t>Assume ~5 miles perimeter; site-specific.</t>
  </si>
  <si>
    <t>6.4.2</t>
  </si>
  <si>
    <t xml:space="preserve">         Security cameras and lighting infrastructure</t>
  </si>
  <si>
    <t>Security cameras and lighting infrastructure</t>
  </si>
  <si>
    <t>7.1.1.1</t>
  </si>
  <si>
    <t xml:space="preserve">            Tracker/racking system installation</t>
  </si>
  <si>
    <t>Tracker/racking hardware supply (single-axis)</t>
  </si>
  <si>
    <t>https://docs.nrel.gov/docs/fy25osti/92257.pdf</t>
  </si>
  <si>
    <t>Unit-cost placeholder calibrated to utility-scale PV benchmarks.</t>
  </si>
  <si>
    <t>7.1.1.2</t>
  </si>
  <si>
    <t xml:space="preserve">            PV module installation</t>
  </si>
  <si>
    <t>PV module installation labor</t>
  </si>
  <si>
    <t>https://www.bls.gov/ooh/construction-and-extraction/electricians.htm</t>
  </si>
  <si>
    <t>Crew labor only.</t>
  </si>
  <si>
    <t>PV modules supply (bifacial ~530W modules)</t>
  </si>
  <si>
    <t>Module</t>
  </si>
  <si>
    <t>Module cost derived from utility-scale PV benchmark; actual procurement depends on market/tariffs.</t>
  </si>
  <si>
    <t>7.1.1.3</t>
  </si>
  <si>
    <t xml:space="preserve">            Module stringing and torquing</t>
  </si>
  <si>
    <t>Module stringing and torquing labor</t>
  </si>
  <si>
    <t>7.1.2</t>
  </si>
  <si>
    <t xml:space="preserve">         DC cabling, combiner boxes, and junction boxes</t>
  </si>
  <si>
    <t>DC cabling, combiner boxes, junction boxes (supply)</t>
  </si>
  <si>
    <t>7.2.1.2</t>
  </si>
  <si>
    <t xml:space="preserve">            Inverter equipment installation</t>
  </si>
  <si>
    <t>Central inverters (supply)</t>
  </si>
  <si>
    <t>Assume 50 inverter units total.</t>
  </si>
  <si>
    <t>Inverter equipment installation labor</t>
  </si>
  <si>
    <t>7.2.2</t>
  </si>
  <si>
    <t xml:space="preserve">         Medium‑voltage cabling and terminations</t>
  </si>
  <si>
    <t>Electrical installation labor (DC/AC collection)</t>
  </si>
  <si>
    <t>Medium-voltage cabling and terminations (supply)</t>
  </si>
  <si>
    <t>7.2.3</t>
  </si>
  <si>
    <t xml:space="preserve">         Pad‑mounted and main step‑up transformer installation</t>
  </si>
  <si>
    <t>Pad-mounted transformers and main step-up transformers (supply)</t>
  </si>
  <si>
    <t>7.3.2.1</t>
  </si>
  <si>
    <t xml:space="preserve">            Main power transformer installation</t>
  </si>
  <si>
    <t>Main power transformer (supply)</t>
  </si>
  <si>
    <t>7.3.2.2</t>
  </si>
  <si>
    <t xml:space="preserve">            Switchgear and protection equipment</t>
  </si>
  <si>
    <t>Substation installation labor (erection, wiring, testing support)</t>
  </si>
  <si>
    <t>Switchgear, protection, relays (supply)</t>
  </si>
  <si>
    <t>7.3.2.3</t>
  </si>
  <si>
    <t xml:space="preserve">            Control house and auxiliary systems</t>
  </si>
  <si>
    <t>Control house &amp; auxiliary systems (supply)</t>
  </si>
  <si>
    <t>7.3.3</t>
  </si>
  <si>
    <t xml:space="preserve">         Transmission line or tie‑in works to Dominion’s grid</t>
  </si>
  <si>
    <t>Transmission line / tie-in works (materials + contractors)</t>
  </si>
  <si>
    <t>7.4.1</t>
  </si>
  <si>
    <t xml:space="preserve">         BESS container/cabinet installation</t>
  </si>
  <si>
    <t>BESS battery containers/packs (supply)</t>
  </si>
  <si>
    <t>kWh</t>
  </si>
  <si>
    <t>Component of total installed cost; placeholder split.</t>
  </si>
  <si>
    <t>BESS installation labor (containers, PCS, cabling)</t>
  </si>
  <si>
    <t>≈$20M total labor allocated over 600,000 kWh.</t>
  </si>
  <si>
    <t>7.4.2.1</t>
  </si>
  <si>
    <t xml:space="preserve">            BESS transformers and switchgear</t>
  </si>
  <si>
    <t>BESS transformers and switchgear (supply)</t>
  </si>
  <si>
    <t>7.4.2.2</t>
  </si>
  <si>
    <t xml:space="preserve">            Power conversion system installation</t>
  </si>
  <si>
    <t>BESS power conversion system (PCS) (supply)</t>
  </si>
  <si>
    <t>kW</t>
  </si>
  <si>
    <t>7.4.2.3</t>
  </si>
  <si>
    <t xml:space="preserve">            Battery management system and controls</t>
  </si>
  <si>
    <t>Battery management system (BMS) + EMS/controls (supply)</t>
  </si>
  <si>
    <t>7.4.3</t>
  </si>
  <si>
    <t xml:space="preserve">         BESS HVAC, fire protection, and safety systems installation</t>
  </si>
  <si>
    <t>BESS HVAC, fire protection, and safety systems (supply + install)</t>
  </si>
  <si>
    <t>8.1</t>
  </si>
  <si>
    <t xml:space="preserve">      SCADA Hardware Installation</t>
  </si>
  <si>
    <t>SCADA servers, RTUs/PLCs, meters, weather station (supply)</t>
  </si>
  <si>
    <t>8.2</t>
  </si>
  <si>
    <t xml:space="preserve">      Communications Network</t>
  </si>
  <si>
    <t>Communications network (fiber, switches, radios)</t>
  </si>
  <si>
    <t>8.3.1</t>
  </si>
  <si>
    <t xml:space="preserve">         Integrate PV and BESS controls</t>
  </si>
  <si>
    <t>Integrate PV and BESS controls (engineering + configuration)</t>
  </si>
  <si>
    <t>8.3.2</t>
  </si>
  <si>
    <t xml:space="preserve">         Interface with utility control/dispatch systems</t>
  </si>
  <si>
    <t>Utility interface (SCADA points list, ICCP/dispatch) integration</t>
  </si>
  <si>
    <t>8.3.3</t>
  </si>
  <si>
    <t xml:space="preserve">         Interface with Amazon’s energy monitoring platform</t>
  </si>
  <si>
    <t>Amazon energy monitoring interface integration</t>
  </si>
  <si>
    <t>9.1</t>
  </si>
  <si>
    <t xml:space="preserve">      Pre‑Commissioning Electrical Tests</t>
  </si>
  <si>
    <t>Pre-commissioning electrical tests (megger, hi-pot, continuity)</t>
  </si>
  <si>
    <t>9.2.1</t>
  </si>
  <si>
    <t xml:space="preserve">         PV array energization and staged startup</t>
  </si>
  <si>
    <t>PV array energization and staged startup services</t>
  </si>
  <si>
    <t>9.2.2</t>
  </si>
  <si>
    <t xml:space="preserve">         BESS commissioning and performance tests</t>
  </si>
  <si>
    <t>BESS commissioning and performance testing services</t>
  </si>
  <si>
    <t>9.2.3</t>
  </si>
  <si>
    <t xml:space="preserve">         SCADA and communications system testing</t>
  </si>
  <si>
    <t>SCADA and communications system testing</t>
  </si>
  <si>
    <t>9.4</t>
  </si>
  <si>
    <t xml:space="preserve">      Grid Interconnection</t>
  </si>
  <si>
    <t>Grid interconnection witness tests, relay settings, compliance</t>
  </si>
  <si>
    <t>Network upgrades / interconnection facilities (utility scope allowance)</t>
  </si>
  <si>
    <t>Highly site/utility dependent; placeholder allowance.</t>
  </si>
  <si>
    <t>10.1</t>
  </si>
  <si>
    <t xml:space="preserve">      As‑Built Documentation</t>
  </si>
  <si>
    <t>As-built drawings, redlines, final documentation</t>
  </si>
  <si>
    <t>10.2</t>
  </si>
  <si>
    <t xml:space="preserve">      Operation &amp; Maitenance Setup</t>
  </si>
  <si>
    <t>Initial spares &amp; O&amp;M tools (recommended spares kit)</t>
  </si>
  <si>
    <t>10.3</t>
  </si>
  <si>
    <t xml:space="preserve">      Training &amp; Knowledge Transfer</t>
  </si>
  <si>
    <t>Training &amp; knowledge transfer (PV + BESS + SCADA)</t>
  </si>
  <si>
    <t>10.4</t>
  </si>
  <si>
    <t xml:space="preserve">      Project Closeout</t>
  </si>
  <si>
    <t>Demobilization, cleanup, closeout admin</t>
  </si>
  <si>
    <t>Warranty reserve / punch list corrections allowance</t>
  </si>
  <si>
    <t>Validation Checks</t>
  </si>
  <si>
    <t>Original_Unit</t>
  </si>
  <si>
    <t>Original_Qty</t>
  </si>
  <si>
    <t>Original_Unit_Price</t>
  </si>
  <si>
    <t>Original_Total</t>
  </si>
  <si>
    <t>Normalized_Qty</t>
  </si>
  <si>
    <t>Normalized_Unit_Price</t>
  </si>
  <si>
    <t>Normalized_Total</t>
  </si>
  <si>
    <t>Validation_Diff_USD</t>
  </si>
  <si>
    <t>Lot</t>
  </si>
  <si>
    <t>Contingency reserve (approved budget rebalancing reserve)</t>
  </si>
  <si>
    <t>Management reserve (removed; included in approved contingency total)</t>
  </si>
  <si>
    <t>Task Budget</t>
  </si>
  <si>
    <t>Phase</t>
  </si>
  <si>
    <t>Phase_Name</t>
  </si>
  <si>
    <t>Task_Name</t>
  </si>
  <si>
    <t>Start</t>
  </si>
  <si>
    <t>Finish</t>
  </si>
  <si>
    <t>Duration_Days</t>
  </si>
  <si>
    <t>Budget_USD</t>
  </si>
  <si>
    <t>Project Management</t>
  </si>
  <si>
    <t>1.1</t>
  </si>
  <si>
    <t>Project Initiation &amp; Charter</t>
  </si>
  <si>
    <t>Project Governance &amp; Controls</t>
  </si>
  <si>
    <t>Project Administration</t>
  </si>
  <si>
    <t>Contingency Reserve - Approved Budget Rebalance</t>
  </si>
  <si>
    <t>Development, Land &amp; Permitting</t>
  </si>
  <si>
    <t>2.1</t>
  </si>
  <si>
    <t>Site Identification &amp; Feasibility</t>
  </si>
  <si>
    <t>Negotiate land lease/purchase terms</t>
  </si>
  <si>
    <t>2.2.2</t>
  </si>
  <si>
    <t>Secure easements and access rights</t>
  </si>
  <si>
    <t>Execute land agreements and record titles</t>
  </si>
  <si>
    <t>Baseline environmental surveys</t>
  </si>
  <si>
    <t>Environmental Impact Assessment report</t>
  </si>
  <si>
    <t>Public consultation and stakeholder engagement</t>
  </si>
  <si>
    <t>2.3.4</t>
  </si>
  <si>
    <t>Finalize mitigation measures</t>
  </si>
  <si>
    <t>Zoning &amp; Local Permits - Submit application</t>
  </si>
  <si>
    <t>2.4.2</t>
  </si>
  <si>
    <t>Zoning &amp; Local Permits - Revisions &amp; Finalization</t>
  </si>
  <si>
    <t>Submit interconnection request to Dominion/PJM</t>
  </si>
  <si>
    <t>2.5.2</t>
  </si>
  <si>
    <t>Support utility system impact and facilities studies</t>
  </si>
  <si>
    <t>2.5.3</t>
  </si>
  <si>
    <t>Review and negotiate interconnection agreement</t>
  </si>
  <si>
    <t>Engineering &amp; Design</t>
  </si>
  <si>
    <t>Conceptual Design</t>
  </si>
  <si>
    <t>Permit/Zoning Design Package - Issue for Submission</t>
  </si>
  <si>
    <t>3.2.2</t>
  </si>
  <si>
    <t>Permit/Zoning Design Package - Revisions / Responses Comments</t>
  </si>
  <si>
    <t>Detailed Electrical &amp; Civil Design</t>
  </si>
  <si>
    <t>BESS System Design</t>
  </si>
  <si>
    <t>SCADA &amp; Communications Design</t>
  </si>
  <si>
    <t>Design Reviews &amp; Approvals</t>
  </si>
  <si>
    <t>Financing &amp; Commercial</t>
  </si>
  <si>
    <t>Financial Modeling</t>
  </si>
  <si>
    <t>Power Purchase Agreement</t>
  </si>
  <si>
    <t>Tax Equity &amp; Capital Structure</t>
  </si>
  <si>
    <t>Financial Close</t>
  </si>
  <si>
    <t>Procurement &amp; Manufacturing</t>
  </si>
  <si>
    <t>Procurement Strategy &amp; EPC</t>
  </si>
  <si>
    <t>Vendor Selection</t>
  </si>
  <si>
    <t>Contracting</t>
  </si>
  <si>
    <t>Monitor module/tracker/inverter manufacturing</t>
  </si>
  <si>
    <t>Monitor BESS container/PCS manufacturing</t>
  </si>
  <si>
    <t>5.4.3</t>
  </si>
  <si>
    <t>Monitor main transformer manufacturing and delivery</t>
  </si>
  <si>
    <t>Civil &amp; Structural Construction</t>
  </si>
  <si>
    <t>Establish site offices, laydown areas, utilities</t>
  </si>
  <si>
    <t>Site safety setup and access control</t>
  </si>
  <si>
    <t>Grading and drainage features</t>
  </si>
  <si>
    <t>Pile driving for tracker foundations</t>
  </si>
  <si>
    <t>Substation foundations</t>
  </si>
  <si>
    <t>Mounting structures installation</t>
  </si>
  <si>
    <t>Electrical / PV / BESS Installation</t>
  </si>
  <si>
    <t>Tracker/racking system installation</t>
  </si>
  <si>
    <t>PV module installation</t>
  </si>
  <si>
    <t>Module stringing and torquing</t>
  </si>
  <si>
    <t>DC cabling, combiner boxes, and junction boxes</t>
  </si>
  <si>
    <t>7.2.1.1</t>
  </si>
  <si>
    <t>Central inverter foundation/mounting</t>
  </si>
  <si>
    <t>Inverter equipment installation</t>
  </si>
  <si>
    <t>7.2.1.3</t>
  </si>
  <si>
    <t>DC/AC connections complete</t>
  </si>
  <si>
    <t>Medium-voltage cabling and terminations</t>
  </si>
  <si>
    <t>Pad-mounted and main step-up transformer installation</t>
  </si>
  <si>
    <t>7.3.1</t>
  </si>
  <si>
    <t>Substation civil foundations</t>
  </si>
  <si>
    <t>Main power transformer installation</t>
  </si>
  <si>
    <t>Switchgear and protection equipment</t>
  </si>
  <si>
    <t>Control house and auxiliary systems</t>
  </si>
  <si>
    <t>Transmission line or tie-in works to Dominion's grid</t>
  </si>
  <si>
    <t>BESS container/cabinet installation</t>
  </si>
  <si>
    <t>BESS transformers and switchgear</t>
  </si>
  <si>
    <t>Power conversion system installation</t>
  </si>
  <si>
    <t>Battery management system and controls</t>
  </si>
  <si>
    <t>BESS HVAC, fire protection, and safety systems installation</t>
  </si>
  <si>
    <t>SCADA &amp; Controls Integration</t>
  </si>
  <si>
    <t>SCADA Hardware Installation</t>
  </si>
  <si>
    <t>Communications Network</t>
  </si>
  <si>
    <t>Integrate PV and BESS controls</t>
  </si>
  <si>
    <t>Interface with utility control/dispatch systems</t>
  </si>
  <si>
    <t>Interface with Amazon's energy monitoring platform</t>
  </si>
  <si>
    <t>Commissioning &amp; Interconnection</t>
  </si>
  <si>
    <t>Pre-Commissioning Electrical Tests</t>
  </si>
  <si>
    <t>PV array energization and staged startup</t>
  </si>
  <si>
    <t>BESS commissioning and performance tests</t>
  </si>
  <si>
    <t>9.3</t>
  </si>
  <si>
    <t>Inspections &amp; Permits Closeout</t>
  </si>
  <si>
    <t>Grid Interconnection</t>
  </si>
  <si>
    <t>Closeout &amp; Handover</t>
  </si>
  <si>
    <t>As-Built Documentation</t>
  </si>
  <si>
    <t>Operation &amp; Maintenance Setup</t>
  </si>
  <si>
    <t>Training &amp; Knowledge Transfer</t>
  </si>
  <si>
    <t>Project Closeout</t>
  </si>
  <si>
    <t>Phase Summary</t>
  </si>
  <si>
    <t>Phase_Start</t>
  </si>
  <si>
    <t>Phase_Finish</t>
  </si>
  <si>
    <t>Task_Count</t>
  </si>
  <si>
    <t>Share_of_Total</t>
  </si>
  <si>
    <t>Duration_Months</t>
  </si>
  <si>
    <t xml:space="preserve">Monthly Spend </t>
  </si>
  <si>
    <t>Month</t>
  </si>
  <si>
    <t>Monthly_Allocated_USD</t>
  </si>
  <si>
    <t>Cumulative_USD</t>
  </si>
  <si>
    <t>Labor Hours Est</t>
  </si>
  <si>
    <t>Source Notes</t>
  </si>
  <si>
    <t>Source file: Helios_Board_Status_Oct2027(1).pptx, slide 1</t>
  </si>
  <si>
    <t>Approved project budget is $500M. Rebuilt reserve equals approved budget minus base work subtotal.</t>
  </si>
  <si>
    <t>Prior separate management reserve removed to prevent total budget exceeding approved $500M.</t>
  </si>
  <si>
    <t>Project Helios Budget &amp; Contingency Control</t>
  </si>
  <si>
    <t>Purpose: reconcile the workbook to the board-status PowerPoint budget and prevent the reserve from being front-loaded.</t>
  </si>
  <si>
    <t>Metric</t>
  </si>
  <si>
    <t>Value</t>
  </si>
  <si>
    <t>Method / Source</t>
  </si>
  <si>
    <t>Approved project budget</t>
  </si>
  <si>
    <t>PowerPoint title slide</t>
  </si>
  <si>
    <t>Controls the rebuilt workbook total.</t>
  </si>
  <si>
    <t>Base work subtotal</t>
  </si>
  <si>
    <t>Existing workbook total less prior contingency and management reserve</t>
  </si>
  <si>
    <t>Direct and soft-cost work packages before reserve.</t>
  </si>
  <si>
    <t>Rebuilt contingency reserve</t>
  </si>
  <si>
    <t>Approved budget minus base work subtotal</t>
  </si>
  <si>
    <t>This replaces the prior 10% contingency plus 5% management reserve load.</t>
  </si>
  <si>
    <t>Effective contingency rate</t>
  </si>
  <si>
    <t>Rebuilt reserve divided by base work subtotal</t>
  </si>
  <si>
    <t>Shown for explanation in the presentation.</t>
  </si>
  <si>
    <t>Prior reserve load</t>
  </si>
  <si>
    <t>Prior contingency + management reserve in workbook</t>
  </si>
  <si>
    <t>Was 47.3148M contingency + 23.6574M management reserve.</t>
  </si>
  <si>
    <t>Reserve removed</t>
  </si>
  <si>
    <t>Prior reserve load minus rebuilt reserve</t>
  </si>
  <si>
    <t>Amount eliminated to match the PowerPoint budget.</t>
  </si>
  <si>
    <t>Rebuilt workbook total</t>
  </si>
  <si>
    <t>Base work subtotal plus rebuilt reserve</t>
  </si>
  <si>
    <t>Should equal the approved project budget.</t>
  </si>
  <si>
    <t>Monthly treatment</t>
  </si>
  <si>
    <t>Reserve spread from Nov 2026 through Dec 2030</t>
  </si>
  <si>
    <t>Task_Budget_Clean row 7</t>
  </si>
  <si>
    <t>Prevents the old one-month $77M front-load.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</si>
</sst>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;[Red]\(\$#,##0.00\);\-"/>
    <numFmt numFmtId="165" formatCode="mmm\ yyyy"/>
    <numFmt numFmtId="166" formatCode="\$#,##0"/>
    <numFmt numFmtId="167" formatCode="mmm\ d\,\ yyyy"/>
    <numFmt numFmtId="168" formatCode="0.0"/>
    <numFmt numFmtId="169" formatCode="\$#,##0.00"/>
  </numFmts>
  <fonts count="5">
    <font>
      <sz val="11"/>
      <color theme="1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b/>
      <sz val="14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9"/>
      </patternFill>
    </fill>
  </fills>
  <borders count="8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3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wrapText="1"/>
    </xf>
    <xf numFmtId="167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10" fontId="0" fillId="0" borderId="0" xfId="0" applyNumberFormat="1" applyAlignment="1">
      <alignment vertical="top"/>
    </xf>
    <xf numFmtId="168" fontId="0" fillId="0" borderId="0" xfId="0" applyNumberFormat="1" applyAlignment="1">
      <alignment vertical="top"/>
    </xf>
    <xf numFmtId="169" fontId="0" fillId="0" borderId="0" xfId="0" applyNumberFormat="1" applyAlignment="1">
      <alignment vertical="top"/>
    </xf>
    <xf numFmtId="0" fontId="2" fillId="5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66" fontId="0" fillId="0" borderId="1" xfId="0" applyNumberFormat="1" applyBorder="1" applyAlignment="1">
      <alignment horizontal="right" wrapText="1"/>
    </xf>
    <xf numFmtId="10" fontId="0" fillId="0" borderId="1" xfId="0" applyNumberFormat="1" applyBorder="1" applyAlignment="1">
      <alignment horizontal="right" wrapText="1"/>
    </xf>
    <xf numFmtId="0" fontId="2" fillId="5" borderId="1" xfId="0" applyFont="1" applyFill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4" fillId="4" borderId="4" xfId="0" applyFont="1" applyFill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1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213360</xdr:colOff>
      <xdr:row>21</xdr:row>
      <xdr:rowOff>304800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AF54643F-2ED6-6F55-4968-8B8B0E26A6F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8"/>
  <sheetViews>
    <sheetView workbookViewId="0">
      <selection sqref="A1:F1"/>
    </sheetView>
  </sheetViews>
  <sheetFormatPr defaultRowHeight="14.45"/>
  <cols>
    <col min="1" max="1" width="8" customWidth="1"/>
    <col min="2" max="2" width="10" customWidth="1"/>
    <col min="3" max="3" width="28" customWidth="1"/>
    <col min="4" max="4" width="48" customWidth="1"/>
    <col min="5" max="5" width="14" customWidth="1"/>
    <col min="6" max="6" width="12" customWidth="1"/>
    <col min="7" max="9" width="14" customWidth="1"/>
    <col min="10" max="10" width="22" customWidth="1"/>
    <col min="11" max="12" width="18" customWidth="1"/>
    <col min="13" max="13" width="40" customWidth="1"/>
    <col min="14" max="14" width="48" customWidth="1"/>
  </cols>
  <sheetData>
    <row r="1" spans="1:14" ht="18">
      <c r="A1" s="26" t="s">
        <v>0</v>
      </c>
      <c r="B1" s="27"/>
      <c r="C1" s="27"/>
      <c r="D1" s="27"/>
      <c r="E1" s="27"/>
      <c r="F1" s="27"/>
    </row>
    <row r="3" spans="1:14" ht="25.7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8.9">
      <c r="A4" s="2">
        <v>2</v>
      </c>
      <c r="B4" s="3" t="s">
        <v>15</v>
      </c>
      <c r="C4" s="4" t="s">
        <v>16</v>
      </c>
      <c r="D4" s="4" t="s">
        <v>17</v>
      </c>
      <c r="E4" s="3" t="s">
        <v>18</v>
      </c>
      <c r="F4" s="3" t="s">
        <v>19</v>
      </c>
      <c r="G4" s="3">
        <v>1</v>
      </c>
      <c r="H4" s="5">
        <v>250000</v>
      </c>
      <c r="I4" s="5">
        <v>250000</v>
      </c>
      <c r="J4" s="3" t="s">
        <v>20</v>
      </c>
      <c r="K4" s="3"/>
      <c r="L4" s="5"/>
      <c r="M4" s="4" t="s">
        <v>21</v>
      </c>
      <c r="N4" s="4" t="s">
        <v>22</v>
      </c>
    </row>
    <row r="5" spans="1:14" ht="28.9">
      <c r="A5" s="2">
        <v>2</v>
      </c>
      <c r="B5" s="3" t="s">
        <v>23</v>
      </c>
      <c r="C5" s="4" t="s">
        <v>24</v>
      </c>
      <c r="D5" s="4" t="s">
        <v>25</v>
      </c>
      <c r="E5" s="3" t="s">
        <v>18</v>
      </c>
      <c r="F5" s="3" t="s">
        <v>19</v>
      </c>
      <c r="G5" s="3">
        <v>1</v>
      </c>
      <c r="H5" s="5">
        <v>3000000</v>
      </c>
      <c r="I5" s="5">
        <v>3000000</v>
      </c>
      <c r="J5" s="3" t="s">
        <v>20</v>
      </c>
      <c r="K5" s="3"/>
      <c r="L5" s="5"/>
      <c r="M5" s="4" t="s">
        <v>26</v>
      </c>
      <c r="N5" s="4" t="s">
        <v>27</v>
      </c>
    </row>
    <row r="6" spans="1:14" ht="28.9">
      <c r="A6" s="2">
        <v>2</v>
      </c>
      <c r="B6" s="3" t="s">
        <v>23</v>
      </c>
      <c r="C6" s="4" t="s">
        <v>24</v>
      </c>
      <c r="D6" s="4" t="s">
        <v>28</v>
      </c>
      <c r="E6" s="3" t="s">
        <v>29</v>
      </c>
      <c r="F6" s="3" t="s">
        <v>30</v>
      </c>
      <c r="G6" s="3">
        <v>240</v>
      </c>
      <c r="H6" s="5">
        <v>12500</v>
      </c>
      <c r="I6" s="5">
        <v>3000000</v>
      </c>
      <c r="J6" s="3" t="s">
        <v>31</v>
      </c>
      <c r="K6" s="3">
        <v>41600</v>
      </c>
      <c r="L6" s="5">
        <v>72.115384615384613</v>
      </c>
      <c r="M6" s="4" t="s">
        <v>21</v>
      </c>
      <c r="N6" s="4" t="s">
        <v>32</v>
      </c>
    </row>
    <row r="7" spans="1:14" ht="28.9">
      <c r="A7" s="2">
        <v>2</v>
      </c>
      <c r="B7" s="3" t="s">
        <v>33</v>
      </c>
      <c r="C7" s="4" t="s">
        <v>34</v>
      </c>
      <c r="D7" s="4" t="s">
        <v>35</v>
      </c>
      <c r="E7" s="3" t="s">
        <v>18</v>
      </c>
      <c r="F7" s="3" t="s">
        <v>19</v>
      </c>
      <c r="G7" s="3">
        <v>1</v>
      </c>
      <c r="H7" s="5">
        <v>47314800</v>
      </c>
      <c r="I7" s="5">
        <v>47314800</v>
      </c>
      <c r="J7" s="3" t="s">
        <v>20</v>
      </c>
      <c r="K7" s="3"/>
      <c r="L7" s="5"/>
      <c r="M7" s="4" t="s">
        <v>26</v>
      </c>
      <c r="N7" s="4" t="s">
        <v>36</v>
      </c>
    </row>
    <row r="8" spans="1:14" ht="28.9">
      <c r="A8" s="2">
        <v>2</v>
      </c>
      <c r="B8" s="3" t="s">
        <v>33</v>
      </c>
      <c r="C8" s="4" t="s">
        <v>34</v>
      </c>
      <c r="D8" s="4" t="s">
        <v>37</v>
      </c>
      <c r="E8" s="3" t="s">
        <v>18</v>
      </c>
      <c r="F8" s="3" t="s">
        <v>19</v>
      </c>
      <c r="G8" s="3">
        <v>1</v>
      </c>
      <c r="H8" s="5">
        <v>23657400</v>
      </c>
      <c r="I8" s="5">
        <v>23657400</v>
      </c>
      <c r="J8" s="3" t="s">
        <v>20</v>
      </c>
      <c r="K8" s="3"/>
      <c r="L8" s="5"/>
      <c r="M8" s="4" t="s">
        <v>26</v>
      </c>
      <c r="N8" s="3" t="s">
        <v>38</v>
      </c>
    </row>
    <row r="9" spans="1:14" ht="43.15">
      <c r="A9" s="2">
        <v>3</v>
      </c>
      <c r="B9" s="3" t="s">
        <v>39</v>
      </c>
      <c r="C9" s="4" t="s">
        <v>40</v>
      </c>
      <c r="D9" s="4" t="s">
        <v>41</v>
      </c>
      <c r="E9" s="3" t="s">
        <v>18</v>
      </c>
      <c r="F9" s="3" t="s">
        <v>42</v>
      </c>
      <c r="G9" s="3">
        <v>1800</v>
      </c>
      <c r="H9" s="5">
        <v>1000</v>
      </c>
      <c r="I9" s="5">
        <v>1800000</v>
      </c>
      <c r="J9" s="4" t="s">
        <v>43</v>
      </c>
      <c r="K9" s="3"/>
      <c r="L9" s="5"/>
      <c r="M9" s="4" t="s">
        <v>44</v>
      </c>
      <c r="N9" s="4" t="s">
        <v>45</v>
      </c>
    </row>
    <row r="10" spans="1:14" ht="28.9">
      <c r="A10" s="2">
        <v>3</v>
      </c>
      <c r="B10" s="3" t="s">
        <v>46</v>
      </c>
      <c r="C10" s="4" t="s">
        <v>47</v>
      </c>
      <c r="D10" s="4" t="s">
        <v>48</v>
      </c>
      <c r="E10" s="3" t="s">
        <v>18</v>
      </c>
      <c r="F10" s="3" t="s">
        <v>19</v>
      </c>
      <c r="G10" s="3">
        <v>1</v>
      </c>
      <c r="H10" s="5">
        <v>350000</v>
      </c>
      <c r="I10" s="5">
        <v>350000</v>
      </c>
      <c r="J10" s="3" t="s">
        <v>20</v>
      </c>
      <c r="K10" s="3"/>
      <c r="L10" s="5"/>
      <c r="M10" s="4" t="s">
        <v>49</v>
      </c>
      <c r="N10" s="4" t="s">
        <v>50</v>
      </c>
    </row>
    <row r="11" spans="1:14" ht="28.9">
      <c r="A11" s="2">
        <v>3</v>
      </c>
      <c r="B11" s="3" t="s">
        <v>51</v>
      </c>
      <c r="C11" s="4" t="s">
        <v>52</v>
      </c>
      <c r="D11" s="4" t="s">
        <v>53</v>
      </c>
      <c r="E11" s="3" t="s">
        <v>18</v>
      </c>
      <c r="F11" s="3" t="s">
        <v>19</v>
      </c>
      <c r="G11" s="3">
        <v>1</v>
      </c>
      <c r="H11" s="5">
        <v>600000</v>
      </c>
      <c r="I11" s="5">
        <v>600000</v>
      </c>
      <c r="J11" s="3" t="s">
        <v>20</v>
      </c>
      <c r="K11" s="3"/>
      <c r="L11" s="5"/>
      <c r="M11" s="4" t="s">
        <v>26</v>
      </c>
      <c r="N11" s="3"/>
    </row>
    <row r="12" spans="1:14" ht="28.9">
      <c r="A12" s="2">
        <v>3</v>
      </c>
      <c r="B12" s="3" t="s">
        <v>54</v>
      </c>
      <c r="C12" s="4" t="s">
        <v>55</v>
      </c>
      <c r="D12" s="4" t="s">
        <v>56</v>
      </c>
      <c r="E12" s="3" t="s">
        <v>18</v>
      </c>
      <c r="F12" s="3" t="s">
        <v>19</v>
      </c>
      <c r="G12" s="3">
        <v>1</v>
      </c>
      <c r="H12" s="5">
        <v>1200000</v>
      </c>
      <c r="I12" s="5">
        <v>1200000</v>
      </c>
      <c r="J12" s="3" t="s">
        <v>20</v>
      </c>
      <c r="K12" s="3"/>
      <c r="L12" s="5"/>
      <c r="M12" s="4" t="s">
        <v>26</v>
      </c>
      <c r="N12" s="3"/>
    </row>
    <row r="13" spans="1:14" ht="28.9">
      <c r="A13" s="2">
        <v>3</v>
      </c>
      <c r="B13" s="3" t="s">
        <v>57</v>
      </c>
      <c r="C13" s="4" t="s">
        <v>58</v>
      </c>
      <c r="D13" s="4" t="s">
        <v>59</v>
      </c>
      <c r="E13" s="3" t="s">
        <v>18</v>
      </c>
      <c r="F13" s="3" t="s">
        <v>19</v>
      </c>
      <c r="G13" s="3">
        <v>1</v>
      </c>
      <c r="H13" s="5">
        <v>200000</v>
      </c>
      <c r="I13" s="5">
        <v>200000</v>
      </c>
      <c r="J13" s="3" t="s">
        <v>20</v>
      </c>
      <c r="K13" s="3"/>
      <c r="L13" s="5"/>
      <c r="M13" s="4" t="s">
        <v>26</v>
      </c>
      <c r="N13" s="3"/>
    </row>
    <row r="14" spans="1:14" ht="28.9">
      <c r="A14" s="2">
        <v>3</v>
      </c>
      <c r="B14" s="3" t="s">
        <v>60</v>
      </c>
      <c r="C14" s="4" t="s">
        <v>61</v>
      </c>
      <c r="D14" s="4" t="s">
        <v>62</v>
      </c>
      <c r="E14" s="3" t="s">
        <v>18</v>
      </c>
      <c r="F14" s="3" t="s">
        <v>19</v>
      </c>
      <c r="G14" s="3">
        <v>1</v>
      </c>
      <c r="H14" s="5">
        <v>250000</v>
      </c>
      <c r="I14" s="5">
        <v>250000</v>
      </c>
      <c r="J14" s="3" t="s">
        <v>20</v>
      </c>
      <c r="K14" s="3"/>
      <c r="L14" s="5"/>
      <c r="M14" s="4" t="s">
        <v>26</v>
      </c>
      <c r="N14" s="3"/>
    </row>
    <row r="15" spans="1:14" ht="28.9">
      <c r="A15" s="2">
        <v>3</v>
      </c>
      <c r="B15" s="3" t="s">
        <v>63</v>
      </c>
      <c r="C15" s="4" t="s">
        <v>64</v>
      </c>
      <c r="D15" s="4" t="s">
        <v>65</v>
      </c>
      <c r="E15" s="3" t="s">
        <v>18</v>
      </c>
      <c r="F15" s="3" t="s">
        <v>19</v>
      </c>
      <c r="G15" s="3">
        <v>1</v>
      </c>
      <c r="H15" s="5">
        <v>1500000</v>
      </c>
      <c r="I15" s="5">
        <v>1500000</v>
      </c>
      <c r="J15" s="3" t="s">
        <v>20</v>
      </c>
      <c r="K15" s="3"/>
      <c r="L15" s="5"/>
      <c r="M15" s="4" t="s">
        <v>26</v>
      </c>
      <c r="N15" s="3"/>
    </row>
    <row r="16" spans="1:14" ht="28.9">
      <c r="A16" s="2">
        <v>4</v>
      </c>
      <c r="B16" s="3" t="s">
        <v>66</v>
      </c>
      <c r="C16" s="3" t="s">
        <v>67</v>
      </c>
      <c r="D16" s="4" t="s">
        <v>68</v>
      </c>
      <c r="E16" s="3" t="s">
        <v>18</v>
      </c>
      <c r="F16" s="3" t="s">
        <v>19</v>
      </c>
      <c r="G16" s="3">
        <v>1</v>
      </c>
      <c r="H16" s="5">
        <v>500000</v>
      </c>
      <c r="I16" s="5">
        <v>500000</v>
      </c>
      <c r="J16" s="3" t="s">
        <v>20</v>
      </c>
      <c r="K16" s="3"/>
      <c r="L16" s="5"/>
      <c r="M16" s="4" t="s">
        <v>26</v>
      </c>
      <c r="N16" s="3"/>
    </row>
    <row r="17" spans="1:14" ht="28.9">
      <c r="A17" s="2">
        <v>4</v>
      </c>
      <c r="B17" s="3" t="s">
        <v>69</v>
      </c>
      <c r="C17" s="4" t="s">
        <v>70</v>
      </c>
      <c r="D17" s="4" t="s">
        <v>71</v>
      </c>
      <c r="E17" s="3" t="s">
        <v>18</v>
      </c>
      <c r="F17" s="3" t="s">
        <v>19</v>
      </c>
      <c r="G17" s="3">
        <v>1</v>
      </c>
      <c r="H17" s="5">
        <v>650000</v>
      </c>
      <c r="I17" s="5">
        <v>650000</v>
      </c>
      <c r="J17" s="3" t="s">
        <v>20</v>
      </c>
      <c r="K17" s="3"/>
      <c r="L17" s="5"/>
      <c r="M17" s="4" t="s">
        <v>26</v>
      </c>
      <c r="N17" s="3"/>
    </row>
    <row r="18" spans="1:14" ht="28.9">
      <c r="A18" s="2">
        <v>4</v>
      </c>
      <c r="B18" s="3" t="s">
        <v>72</v>
      </c>
      <c r="C18" s="4" t="s">
        <v>73</v>
      </c>
      <c r="D18" s="4" t="s">
        <v>74</v>
      </c>
      <c r="E18" s="3" t="s">
        <v>18</v>
      </c>
      <c r="F18" s="3" t="s">
        <v>19</v>
      </c>
      <c r="G18" s="3">
        <v>1</v>
      </c>
      <c r="H18" s="5">
        <v>2000000</v>
      </c>
      <c r="I18" s="5">
        <v>2000000</v>
      </c>
      <c r="J18" s="3" t="s">
        <v>20</v>
      </c>
      <c r="K18" s="3"/>
      <c r="L18" s="5"/>
      <c r="M18" s="4" t="s">
        <v>26</v>
      </c>
      <c r="N18" s="3"/>
    </row>
    <row r="19" spans="1:14">
      <c r="A19" s="2">
        <v>4</v>
      </c>
      <c r="B19" s="3" t="s">
        <v>75</v>
      </c>
      <c r="C19" s="3" t="s">
        <v>76</v>
      </c>
      <c r="D19" s="4" t="s">
        <v>77</v>
      </c>
      <c r="E19" s="3" t="s">
        <v>18</v>
      </c>
      <c r="F19" s="3" t="s">
        <v>19</v>
      </c>
      <c r="G19" s="3">
        <v>1</v>
      </c>
      <c r="H19" s="5">
        <v>750000</v>
      </c>
      <c r="I19" s="5">
        <v>750000</v>
      </c>
      <c r="J19" s="3" t="s">
        <v>20</v>
      </c>
      <c r="K19" s="3"/>
      <c r="L19" s="5"/>
      <c r="M19" s="4" t="s">
        <v>78</v>
      </c>
      <c r="N19" s="3"/>
    </row>
    <row r="20" spans="1:14" ht="28.9">
      <c r="A20" s="2">
        <v>4</v>
      </c>
      <c r="B20" s="3" t="s">
        <v>79</v>
      </c>
      <c r="C20" s="4" t="s">
        <v>80</v>
      </c>
      <c r="D20" s="4" t="s">
        <v>81</v>
      </c>
      <c r="E20" s="3" t="s">
        <v>18</v>
      </c>
      <c r="F20" s="3" t="s">
        <v>19</v>
      </c>
      <c r="G20" s="3">
        <v>1</v>
      </c>
      <c r="H20" s="5">
        <v>400000</v>
      </c>
      <c r="I20" s="5">
        <v>400000</v>
      </c>
      <c r="J20" s="3" t="s">
        <v>20</v>
      </c>
      <c r="K20" s="3"/>
      <c r="L20" s="5"/>
      <c r="M20" s="4" t="s">
        <v>26</v>
      </c>
      <c r="N20" s="3"/>
    </row>
    <row r="21" spans="1:14" ht="28.9">
      <c r="A21" s="2">
        <v>4</v>
      </c>
      <c r="B21" s="3" t="s">
        <v>82</v>
      </c>
      <c r="C21" s="4" t="s">
        <v>83</v>
      </c>
      <c r="D21" s="4" t="s">
        <v>84</v>
      </c>
      <c r="E21" s="3" t="s">
        <v>18</v>
      </c>
      <c r="F21" s="3" t="s">
        <v>19</v>
      </c>
      <c r="G21" s="3">
        <v>1</v>
      </c>
      <c r="H21" s="5">
        <v>1200000</v>
      </c>
      <c r="I21" s="5">
        <v>1200000</v>
      </c>
      <c r="J21" s="3" t="s">
        <v>20</v>
      </c>
      <c r="K21" s="3"/>
      <c r="L21" s="5"/>
      <c r="M21" s="4" t="s">
        <v>26</v>
      </c>
      <c r="N21" s="3"/>
    </row>
    <row r="22" spans="1:14" ht="28.9">
      <c r="A22" s="2">
        <v>5</v>
      </c>
      <c r="B22" s="3" t="s">
        <v>85</v>
      </c>
      <c r="C22" s="3" t="s">
        <v>86</v>
      </c>
      <c r="D22" s="4" t="s">
        <v>87</v>
      </c>
      <c r="E22" s="3" t="s">
        <v>18</v>
      </c>
      <c r="F22" s="3" t="s">
        <v>19</v>
      </c>
      <c r="G22" s="3">
        <v>1</v>
      </c>
      <c r="H22" s="5">
        <v>250000</v>
      </c>
      <c r="I22" s="5">
        <v>250000</v>
      </c>
      <c r="J22" s="3" t="s">
        <v>20</v>
      </c>
      <c r="K22" s="3"/>
      <c r="L22" s="5"/>
      <c r="M22" s="4" t="s">
        <v>26</v>
      </c>
      <c r="N22" s="3"/>
    </row>
    <row r="23" spans="1:14" ht="28.9">
      <c r="A23" s="2">
        <v>5</v>
      </c>
      <c r="B23" s="3" t="s">
        <v>88</v>
      </c>
      <c r="C23" s="4" t="s">
        <v>89</v>
      </c>
      <c r="D23" s="4" t="s">
        <v>90</v>
      </c>
      <c r="E23" s="3" t="s">
        <v>18</v>
      </c>
      <c r="F23" s="3" t="s">
        <v>19</v>
      </c>
      <c r="G23" s="3">
        <v>1</v>
      </c>
      <c r="H23" s="5">
        <v>800000</v>
      </c>
      <c r="I23" s="5">
        <v>800000</v>
      </c>
      <c r="J23" s="3" t="s">
        <v>20</v>
      </c>
      <c r="K23" s="3"/>
      <c r="L23" s="5"/>
      <c r="M23" s="4" t="s">
        <v>26</v>
      </c>
      <c r="N23" s="3"/>
    </row>
    <row r="24" spans="1:14" ht="28.9">
      <c r="A24" s="2">
        <v>5</v>
      </c>
      <c r="B24" s="3" t="s">
        <v>91</v>
      </c>
      <c r="C24" s="4" t="s">
        <v>92</v>
      </c>
      <c r="D24" s="4" t="s">
        <v>93</v>
      </c>
      <c r="E24" s="3" t="s">
        <v>18</v>
      </c>
      <c r="F24" s="3" t="s">
        <v>19</v>
      </c>
      <c r="G24" s="3">
        <v>1</v>
      </c>
      <c r="H24" s="5">
        <v>900000</v>
      </c>
      <c r="I24" s="5">
        <v>900000</v>
      </c>
      <c r="J24" s="3" t="s">
        <v>20</v>
      </c>
      <c r="K24" s="3"/>
      <c r="L24" s="5"/>
      <c r="M24" s="4" t="s">
        <v>26</v>
      </c>
      <c r="N24" s="3"/>
    </row>
    <row r="25" spans="1:14" ht="28.9">
      <c r="A25" s="2">
        <v>5</v>
      </c>
      <c r="B25" s="3" t="s">
        <v>94</v>
      </c>
      <c r="C25" s="3" t="s">
        <v>95</v>
      </c>
      <c r="D25" s="4" t="s">
        <v>96</v>
      </c>
      <c r="E25" s="3" t="s">
        <v>18</v>
      </c>
      <c r="F25" s="3" t="s">
        <v>19</v>
      </c>
      <c r="G25" s="3">
        <v>1</v>
      </c>
      <c r="H25" s="5">
        <v>1200000</v>
      </c>
      <c r="I25" s="5">
        <v>1200000</v>
      </c>
      <c r="J25" s="3" t="s">
        <v>20</v>
      </c>
      <c r="K25" s="3"/>
      <c r="L25" s="5"/>
      <c r="M25" s="4" t="s">
        <v>26</v>
      </c>
      <c r="N25" s="3"/>
    </row>
    <row r="26" spans="1:14" ht="28.9">
      <c r="A26" s="2">
        <v>6</v>
      </c>
      <c r="B26" s="3" t="s">
        <v>97</v>
      </c>
      <c r="C26" s="4" t="s">
        <v>98</v>
      </c>
      <c r="D26" s="4" t="s">
        <v>99</v>
      </c>
      <c r="E26" s="3" t="s">
        <v>18</v>
      </c>
      <c r="F26" s="3" t="s">
        <v>19</v>
      </c>
      <c r="G26" s="3">
        <v>1</v>
      </c>
      <c r="H26" s="5">
        <v>150000</v>
      </c>
      <c r="I26" s="5">
        <v>150000</v>
      </c>
      <c r="J26" s="3" t="s">
        <v>20</v>
      </c>
      <c r="K26" s="3"/>
      <c r="L26" s="5"/>
      <c r="M26" s="4" t="s">
        <v>26</v>
      </c>
      <c r="N26" s="3"/>
    </row>
    <row r="27" spans="1:14" ht="28.9">
      <c r="A27" s="2">
        <v>6</v>
      </c>
      <c r="B27" s="3" t="s">
        <v>100</v>
      </c>
      <c r="C27" s="3" t="s">
        <v>101</v>
      </c>
      <c r="D27" s="4" t="s">
        <v>102</v>
      </c>
      <c r="E27" s="3" t="s">
        <v>18</v>
      </c>
      <c r="F27" s="3" t="s">
        <v>19</v>
      </c>
      <c r="G27" s="3">
        <v>1</v>
      </c>
      <c r="H27" s="5">
        <v>300000</v>
      </c>
      <c r="I27" s="5">
        <v>300000</v>
      </c>
      <c r="J27" s="3" t="s">
        <v>20</v>
      </c>
      <c r="K27" s="3"/>
      <c r="L27" s="5"/>
      <c r="M27" s="4" t="s">
        <v>26</v>
      </c>
      <c r="N27" s="3"/>
    </row>
    <row r="28" spans="1:14" ht="28.9">
      <c r="A28" s="2">
        <v>6</v>
      </c>
      <c r="B28" s="3" t="s">
        <v>103</v>
      </c>
      <c r="C28" s="3" t="s">
        <v>104</v>
      </c>
      <c r="D28" s="4" t="s">
        <v>105</v>
      </c>
      <c r="E28" s="3" t="s">
        <v>18</v>
      </c>
      <c r="F28" s="3" t="s">
        <v>19</v>
      </c>
      <c r="G28" s="3">
        <v>1</v>
      </c>
      <c r="H28" s="5">
        <v>450000</v>
      </c>
      <c r="I28" s="5">
        <v>450000</v>
      </c>
      <c r="J28" s="3" t="s">
        <v>20</v>
      </c>
      <c r="K28" s="3"/>
      <c r="L28" s="5"/>
      <c r="M28" s="4" t="s">
        <v>26</v>
      </c>
      <c r="N28" s="3"/>
    </row>
    <row r="29" spans="1:14" ht="43.15">
      <c r="A29" s="2">
        <v>6</v>
      </c>
      <c r="B29" s="3" t="s">
        <v>106</v>
      </c>
      <c r="C29" s="4" t="s">
        <v>107</v>
      </c>
      <c r="D29" s="4" t="s">
        <v>108</v>
      </c>
      <c r="E29" s="3" t="s">
        <v>18</v>
      </c>
      <c r="F29" s="3" t="s">
        <v>19</v>
      </c>
      <c r="G29" s="3">
        <v>1</v>
      </c>
      <c r="H29" s="5">
        <v>2500000</v>
      </c>
      <c r="I29" s="5">
        <v>2500000</v>
      </c>
      <c r="J29" s="3" t="s">
        <v>20</v>
      </c>
      <c r="K29" s="3"/>
      <c r="L29" s="5"/>
      <c r="M29" s="4" t="s">
        <v>26</v>
      </c>
      <c r="N29" s="4" t="s">
        <v>109</v>
      </c>
    </row>
    <row r="30" spans="1:14" ht="28.9">
      <c r="A30" s="2">
        <v>6</v>
      </c>
      <c r="B30" s="3" t="s">
        <v>110</v>
      </c>
      <c r="C30" s="4" t="s">
        <v>111</v>
      </c>
      <c r="D30" s="4" t="s">
        <v>112</v>
      </c>
      <c r="E30" s="3" t="s">
        <v>18</v>
      </c>
      <c r="F30" s="3" t="s">
        <v>19</v>
      </c>
      <c r="G30" s="3">
        <v>1</v>
      </c>
      <c r="H30" s="5">
        <v>2000000</v>
      </c>
      <c r="I30" s="5">
        <v>2000000</v>
      </c>
      <c r="J30" s="3" t="s">
        <v>20</v>
      </c>
      <c r="K30" s="3"/>
      <c r="L30" s="5"/>
      <c r="M30" s="4" t="s">
        <v>78</v>
      </c>
      <c r="N30" s="4" t="s">
        <v>109</v>
      </c>
    </row>
    <row r="31" spans="1:14" ht="28.9">
      <c r="A31" s="2">
        <v>7</v>
      </c>
      <c r="B31" s="3" t="s">
        <v>113</v>
      </c>
      <c r="C31" s="4" t="s">
        <v>114</v>
      </c>
      <c r="D31" s="4" t="s">
        <v>115</v>
      </c>
      <c r="E31" s="3" t="s">
        <v>116</v>
      </c>
      <c r="F31" s="3" t="s">
        <v>19</v>
      </c>
      <c r="G31" s="3">
        <v>1</v>
      </c>
      <c r="H31" s="5">
        <v>4000000</v>
      </c>
      <c r="I31" s="5">
        <v>4000000</v>
      </c>
      <c r="J31" s="3" t="s">
        <v>20</v>
      </c>
      <c r="K31" s="3"/>
      <c r="L31" s="5"/>
      <c r="M31" s="4" t="s">
        <v>26</v>
      </c>
      <c r="N31" s="3"/>
    </row>
    <row r="32" spans="1:14" ht="28.9">
      <c r="A32" s="2">
        <v>7</v>
      </c>
      <c r="B32" s="3" t="s">
        <v>117</v>
      </c>
      <c r="C32" s="4" t="s">
        <v>118</v>
      </c>
      <c r="D32" s="4" t="s">
        <v>119</v>
      </c>
      <c r="E32" s="3" t="s">
        <v>116</v>
      </c>
      <c r="F32" s="3" t="s">
        <v>19</v>
      </c>
      <c r="G32" s="3">
        <v>1</v>
      </c>
      <c r="H32" s="5">
        <v>1200000</v>
      </c>
      <c r="I32" s="5">
        <v>1200000</v>
      </c>
      <c r="J32" s="3" t="s">
        <v>20</v>
      </c>
      <c r="K32" s="3"/>
      <c r="L32" s="5"/>
      <c r="M32" s="4" t="s">
        <v>26</v>
      </c>
      <c r="N32" s="3"/>
    </row>
    <row r="33" spans="1:14" ht="28.9">
      <c r="A33" s="2">
        <v>7</v>
      </c>
      <c r="B33" s="3" t="s">
        <v>120</v>
      </c>
      <c r="C33" s="4" t="s">
        <v>121</v>
      </c>
      <c r="D33" s="3" t="s">
        <v>122</v>
      </c>
      <c r="E33" s="3" t="s">
        <v>116</v>
      </c>
      <c r="F33" s="3" t="s">
        <v>123</v>
      </c>
      <c r="G33" s="3">
        <v>900</v>
      </c>
      <c r="H33" s="5">
        <v>6000</v>
      </c>
      <c r="I33" s="5">
        <v>5400000</v>
      </c>
      <c r="J33" s="4" t="s">
        <v>43</v>
      </c>
      <c r="K33" s="3"/>
      <c r="L33" s="5"/>
      <c r="M33" s="4" t="s">
        <v>26</v>
      </c>
      <c r="N33" s="4" t="s">
        <v>124</v>
      </c>
    </row>
    <row r="34" spans="1:14" ht="28.9">
      <c r="A34" s="2">
        <v>7</v>
      </c>
      <c r="B34" s="3" t="s">
        <v>125</v>
      </c>
      <c r="C34" s="4" t="s">
        <v>126</v>
      </c>
      <c r="D34" s="4" t="s">
        <v>127</v>
      </c>
      <c r="E34" s="3" t="s">
        <v>116</v>
      </c>
      <c r="F34" s="3" t="s">
        <v>128</v>
      </c>
      <c r="G34" s="3">
        <v>150</v>
      </c>
      <c r="H34" s="5">
        <v>80000</v>
      </c>
      <c r="I34" s="5">
        <v>12000000</v>
      </c>
      <c r="J34" s="4" t="s">
        <v>43</v>
      </c>
      <c r="K34" s="3"/>
      <c r="L34" s="5"/>
      <c r="M34" s="4" t="s">
        <v>26</v>
      </c>
      <c r="N34" s="3" t="s">
        <v>129</v>
      </c>
    </row>
    <row r="35" spans="1:14" ht="28.9">
      <c r="A35" s="2">
        <v>7</v>
      </c>
      <c r="B35" s="3" t="s">
        <v>130</v>
      </c>
      <c r="C35" s="4" t="s">
        <v>131</v>
      </c>
      <c r="D35" s="4" t="s">
        <v>132</v>
      </c>
      <c r="E35" s="3" t="s">
        <v>116</v>
      </c>
      <c r="F35" s="3" t="s">
        <v>128</v>
      </c>
      <c r="G35" s="3">
        <v>150</v>
      </c>
      <c r="H35" s="5">
        <v>55000</v>
      </c>
      <c r="I35" s="5">
        <v>8250000</v>
      </c>
      <c r="J35" s="4" t="s">
        <v>43</v>
      </c>
      <c r="K35" s="3"/>
      <c r="L35" s="5"/>
      <c r="M35" s="4" t="s">
        <v>26</v>
      </c>
      <c r="N35" s="3" t="s">
        <v>129</v>
      </c>
    </row>
    <row r="36" spans="1:14" ht="28.9">
      <c r="A36" s="2">
        <v>7</v>
      </c>
      <c r="B36" s="3" t="s">
        <v>133</v>
      </c>
      <c r="C36" s="4" t="s">
        <v>134</v>
      </c>
      <c r="D36" s="4" t="s">
        <v>135</v>
      </c>
      <c r="E36" s="3" t="s">
        <v>29</v>
      </c>
      <c r="F36" s="3" t="s">
        <v>128</v>
      </c>
      <c r="G36" s="3">
        <v>150</v>
      </c>
      <c r="H36" s="5">
        <v>80000</v>
      </c>
      <c r="I36" s="5">
        <v>12000000</v>
      </c>
      <c r="J36" s="3" t="s">
        <v>31</v>
      </c>
      <c r="K36" s="3">
        <v>160000</v>
      </c>
      <c r="L36" s="5">
        <v>75</v>
      </c>
      <c r="M36" s="4" t="s">
        <v>26</v>
      </c>
      <c r="N36" s="4" t="s">
        <v>136</v>
      </c>
    </row>
    <row r="37" spans="1:14" ht="28.9">
      <c r="A37" s="2">
        <v>7</v>
      </c>
      <c r="B37" s="3" t="s">
        <v>137</v>
      </c>
      <c r="C37" s="4" t="s">
        <v>138</v>
      </c>
      <c r="D37" s="4" t="s">
        <v>139</v>
      </c>
      <c r="E37" s="3" t="s">
        <v>116</v>
      </c>
      <c r="F37" s="3" t="s">
        <v>140</v>
      </c>
      <c r="G37" s="3">
        <v>50</v>
      </c>
      <c r="H37" s="5">
        <v>40000</v>
      </c>
      <c r="I37" s="5">
        <v>2000000</v>
      </c>
      <c r="J37" s="4" t="s">
        <v>43</v>
      </c>
      <c r="K37" s="3"/>
      <c r="L37" s="5"/>
      <c r="M37" s="4" t="s">
        <v>26</v>
      </c>
      <c r="N37" s="4" t="s">
        <v>141</v>
      </c>
    </row>
    <row r="38" spans="1:14" ht="28.9">
      <c r="A38" s="2">
        <v>7</v>
      </c>
      <c r="B38" s="3" t="s">
        <v>142</v>
      </c>
      <c r="C38" s="4" t="s">
        <v>143</v>
      </c>
      <c r="D38" s="4" t="s">
        <v>144</v>
      </c>
      <c r="E38" s="3" t="s">
        <v>116</v>
      </c>
      <c r="F38" s="3" t="s">
        <v>19</v>
      </c>
      <c r="G38" s="3">
        <v>1</v>
      </c>
      <c r="H38" s="5">
        <v>3000000</v>
      </c>
      <c r="I38" s="5">
        <v>3000000</v>
      </c>
      <c r="J38" s="3" t="s">
        <v>20</v>
      </c>
      <c r="K38" s="3"/>
      <c r="L38" s="5"/>
      <c r="M38" s="4" t="s">
        <v>26</v>
      </c>
      <c r="N38" s="3"/>
    </row>
    <row r="39" spans="1:14" ht="28.9">
      <c r="A39" s="2">
        <v>7</v>
      </c>
      <c r="B39" s="3" t="s">
        <v>145</v>
      </c>
      <c r="C39" s="4" t="s">
        <v>146</v>
      </c>
      <c r="D39" s="4" t="s">
        <v>147</v>
      </c>
      <c r="E39" s="3" t="s">
        <v>29</v>
      </c>
      <c r="F39" s="3" t="s">
        <v>128</v>
      </c>
      <c r="G39" s="3">
        <v>150</v>
      </c>
      <c r="H39" s="5">
        <v>50000</v>
      </c>
      <c r="I39" s="5">
        <v>7500000</v>
      </c>
      <c r="J39" s="3" t="s">
        <v>31</v>
      </c>
      <c r="K39" s="3">
        <v>100000</v>
      </c>
      <c r="L39" s="5">
        <v>75</v>
      </c>
      <c r="M39" s="4" t="s">
        <v>148</v>
      </c>
      <c r="N39" s="4" t="s">
        <v>149</v>
      </c>
    </row>
    <row r="40" spans="1:14" ht="28.9">
      <c r="A40" s="2">
        <v>7</v>
      </c>
      <c r="B40" s="3" t="s">
        <v>150</v>
      </c>
      <c r="C40" s="4" t="s">
        <v>151</v>
      </c>
      <c r="D40" s="4" t="s">
        <v>152</v>
      </c>
      <c r="E40" s="3" t="s">
        <v>116</v>
      </c>
      <c r="F40" s="3" t="s">
        <v>153</v>
      </c>
      <c r="G40" s="3">
        <v>5</v>
      </c>
      <c r="H40" s="5">
        <v>600000</v>
      </c>
      <c r="I40" s="5">
        <v>3000000</v>
      </c>
      <c r="J40" s="4" t="s">
        <v>43</v>
      </c>
      <c r="K40" s="3"/>
      <c r="L40" s="5"/>
      <c r="M40" s="4" t="s">
        <v>26</v>
      </c>
      <c r="N40" s="4" t="s">
        <v>154</v>
      </c>
    </row>
    <row r="41" spans="1:14" ht="28.9">
      <c r="A41" s="2">
        <v>7</v>
      </c>
      <c r="B41" s="3" t="s">
        <v>155</v>
      </c>
      <c r="C41" s="4" t="s">
        <v>156</v>
      </c>
      <c r="D41" s="4" t="s">
        <v>157</v>
      </c>
      <c r="E41" s="3" t="s">
        <v>116</v>
      </c>
      <c r="F41" s="3" t="s">
        <v>19</v>
      </c>
      <c r="G41" s="3">
        <v>1</v>
      </c>
      <c r="H41" s="5">
        <v>4000000</v>
      </c>
      <c r="I41" s="5">
        <v>4000000</v>
      </c>
      <c r="J41" s="3" t="s">
        <v>20</v>
      </c>
      <c r="K41" s="3"/>
      <c r="L41" s="5"/>
      <c r="M41" s="4" t="s">
        <v>26</v>
      </c>
      <c r="N41" s="3"/>
    </row>
    <row r="42" spans="1:14" ht="28.9">
      <c r="A42" s="2">
        <v>8</v>
      </c>
      <c r="B42" s="3" t="s">
        <v>158</v>
      </c>
      <c r="C42" s="4" t="s">
        <v>159</v>
      </c>
      <c r="D42" s="4" t="s">
        <v>160</v>
      </c>
      <c r="E42" s="3" t="s">
        <v>116</v>
      </c>
      <c r="F42" s="3" t="s">
        <v>128</v>
      </c>
      <c r="G42" s="3">
        <v>150</v>
      </c>
      <c r="H42" s="5">
        <v>120000</v>
      </c>
      <c r="I42" s="5">
        <v>18000000</v>
      </c>
      <c r="J42" s="4" t="s">
        <v>43</v>
      </c>
      <c r="K42" s="3"/>
      <c r="L42" s="5"/>
      <c r="M42" s="4" t="s">
        <v>161</v>
      </c>
      <c r="N42" s="4" t="s">
        <v>162</v>
      </c>
    </row>
    <row r="43" spans="1:14" ht="28.9">
      <c r="A43" s="2">
        <v>8</v>
      </c>
      <c r="B43" s="3" t="s">
        <v>163</v>
      </c>
      <c r="C43" s="4" t="s">
        <v>164</v>
      </c>
      <c r="D43" s="4" t="s">
        <v>165</v>
      </c>
      <c r="E43" s="3" t="s">
        <v>29</v>
      </c>
      <c r="F43" s="3" t="s">
        <v>128</v>
      </c>
      <c r="G43" s="3">
        <v>150</v>
      </c>
      <c r="H43" s="5">
        <v>25000</v>
      </c>
      <c r="I43" s="5">
        <v>3750000</v>
      </c>
      <c r="J43" s="3" t="s">
        <v>31</v>
      </c>
      <c r="K43" s="3">
        <v>50000</v>
      </c>
      <c r="L43" s="5">
        <v>75</v>
      </c>
      <c r="M43" s="4" t="s">
        <v>166</v>
      </c>
      <c r="N43" s="3" t="s">
        <v>167</v>
      </c>
    </row>
    <row r="44" spans="1:14" ht="28.9">
      <c r="A44" s="2">
        <v>8</v>
      </c>
      <c r="B44" s="3" t="s">
        <v>163</v>
      </c>
      <c r="C44" s="4" t="s">
        <v>164</v>
      </c>
      <c r="D44" s="4" t="s">
        <v>168</v>
      </c>
      <c r="E44" s="3" t="s">
        <v>116</v>
      </c>
      <c r="F44" s="3" t="s">
        <v>169</v>
      </c>
      <c r="G44" s="3">
        <v>283019</v>
      </c>
      <c r="H44" s="5">
        <v>132.4999381666955</v>
      </c>
      <c r="I44" s="5">
        <v>37499999.999999993</v>
      </c>
      <c r="J44" s="4" t="s">
        <v>43</v>
      </c>
      <c r="K44" s="3"/>
      <c r="L44" s="5"/>
      <c r="M44" s="4" t="s">
        <v>161</v>
      </c>
      <c r="N44" s="4" t="s">
        <v>170</v>
      </c>
    </row>
    <row r="45" spans="1:14" ht="28.9">
      <c r="A45" s="2">
        <v>8</v>
      </c>
      <c r="B45" s="3" t="s">
        <v>171</v>
      </c>
      <c r="C45" s="4" t="s">
        <v>172</v>
      </c>
      <c r="D45" s="4" t="s">
        <v>173</v>
      </c>
      <c r="E45" s="3" t="s">
        <v>29</v>
      </c>
      <c r="F45" s="3" t="s">
        <v>128</v>
      </c>
      <c r="G45" s="3">
        <v>150</v>
      </c>
      <c r="H45" s="5">
        <v>18000</v>
      </c>
      <c r="I45" s="5">
        <v>2700000</v>
      </c>
      <c r="J45" s="3" t="s">
        <v>31</v>
      </c>
      <c r="K45" s="3">
        <v>36000</v>
      </c>
      <c r="L45" s="5">
        <v>75</v>
      </c>
      <c r="M45" s="4" t="s">
        <v>166</v>
      </c>
      <c r="N45" s="3"/>
    </row>
    <row r="46" spans="1:14" ht="28.9">
      <c r="A46" s="2">
        <v>8</v>
      </c>
      <c r="B46" s="3" t="s">
        <v>174</v>
      </c>
      <c r="C46" s="4" t="s">
        <v>175</v>
      </c>
      <c r="D46" s="4" t="s">
        <v>176</v>
      </c>
      <c r="E46" s="3" t="s">
        <v>116</v>
      </c>
      <c r="F46" s="3" t="s">
        <v>128</v>
      </c>
      <c r="G46" s="3">
        <v>150</v>
      </c>
      <c r="H46" s="5">
        <v>70000</v>
      </c>
      <c r="I46" s="5">
        <v>10500000</v>
      </c>
      <c r="J46" s="4" t="s">
        <v>43</v>
      </c>
      <c r="K46" s="3"/>
      <c r="L46" s="5"/>
      <c r="M46" s="4" t="s">
        <v>161</v>
      </c>
      <c r="N46" s="3"/>
    </row>
    <row r="47" spans="1:14" ht="28.9">
      <c r="A47" s="2">
        <v>8</v>
      </c>
      <c r="B47" s="3" t="s">
        <v>177</v>
      </c>
      <c r="C47" s="4" t="s">
        <v>178</v>
      </c>
      <c r="D47" s="4" t="s">
        <v>179</v>
      </c>
      <c r="E47" s="3" t="s">
        <v>116</v>
      </c>
      <c r="F47" s="3" t="s">
        <v>140</v>
      </c>
      <c r="G47" s="3">
        <v>50</v>
      </c>
      <c r="H47" s="5">
        <v>180000</v>
      </c>
      <c r="I47" s="5">
        <v>9000000</v>
      </c>
      <c r="J47" s="4" t="s">
        <v>43</v>
      </c>
      <c r="K47" s="3"/>
      <c r="L47" s="5"/>
      <c r="M47" s="4" t="s">
        <v>161</v>
      </c>
      <c r="N47" s="4" t="s">
        <v>180</v>
      </c>
    </row>
    <row r="48" spans="1:14" ht="28.9">
      <c r="A48" s="2">
        <v>8</v>
      </c>
      <c r="B48" s="3" t="s">
        <v>177</v>
      </c>
      <c r="C48" s="4" t="s">
        <v>178</v>
      </c>
      <c r="D48" s="4" t="s">
        <v>181</v>
      </c>
      <c r="E48" s="3" t="s">
        <v>29</v>
      </c>
      <c r="F48" s="3" t="s">
        <v>140</v>
      </c>
      <c r="G48" s="3">
        <v>50</v>
      </c>
      <c r="H48" s="5">
        <v>30000</v>
      </c>
      <c r="I48" s="5">
        <v>1500000</v>
      </c>
      <c r="J48" s="3" t="s">
        <v>31</v>
      </c>
      <c r="K48" s="3">
        <v>20000</v>
      </c>
      <c r="L48" s="5">
        <v>75</v>
      </c>
      <c r="M48" s="4" t="s">
        <v>166</v>
      </c>
      <c r="N48" s="3"/>
    </row>
    <row r="49" spans="1:14" ht="28.9">
      <c r="A49" s="2">
        <v>8</v>
      </c>
      <c r="B49" s="3" t="s">
        <v>182</v>
      </c>
      <c r="C49" s="4" t="s">
        <v>183</v>
      </c>
      <c r="D49" s="4" t="s">
        <v>184</v>
      </c>
      <c r="E49" s="3" t="s">
        <v>29</v>
      </c>
      <c r="F49" s="3" t="s">
        <v>128</v>
      </c>
      <c r="G49" s="3">
        <v>150</v>
      </c>
      <c r="H49" s="5">
        <v>60000</v>
      </c>
      <c r="I49" s="5">
        <v>9000000</v>
      </c>
      <c r="J49" s="3" t="s">
        <v>31</v>
      </c>
      <c r="K49" s="3">
        <v>105882.3529411765</v>
      </c>
      <c r="L49" s="5">
        <v>85</v>
      </c>
      <c r="M49" s="4" t="s">
        <v>166</v>
      </c>
      <c r="N49" s="3"/>
    </row>
    <row r="50" spans="1:14" ht="28.9">
      <c r="A50" s="2">
        <v>8</v>
      </c>
      <c r="B50" s="3" t="s">
        <v>182</v>
      </c>
      <c r="C50" s="4" t="s">
        <v>183</v>
      </c>
      <c r="D50" s="4" t="s">
        <v>185</v>
      </c>
      <c r="E50" s="3" t="s">
        <v>116</v>
      </c>
      <c r="F50" s="3" t="s">
        <v>128</v>
      </c>
      <c r="G50" s="3">
        <v>150</v>
      </c>
      <c r="H50" s="5">
        <v>65000</v>
      </c>
      <c r="I50" s="5">
        <v>9750000</v>
      </c>
      <c r="J50" s="4" t="s">
        <v>43</v>
      </c>
      <c r="K50" s="3"/>
      <c r="L50" s="5"/>
      <c r="M50" s="4" t="s">
        <v>161</v>
      </c>
      <c r="N50" s="3"/>
    </row>
    <row r="51" spans="1:14" ht="28.9">
      <c r="A51" s="2">
        <v>8</v>
      </c>
      <c r="B51" s="3" t="s">
        <v>186</v>
      </c>
      <c r="C51" s="4" t="s">
        <v>187</v>
      </c>
      <c r="D51" s="4" t="s">
        <v>188</v>
      </c>
      <c r="E51" s="3" t="s">
        <v>116</v>
      </c>
      <c r="F51" s="3" t="s">
        <v>19</v>
      </c>
      <c r="G51" s="3">
        <v>1</v>
      </c>
      <c r="H51" s="5">
        <v>12000000</v>
      </c>
      <c r="I51" s="5">
        <v>12000000</v>
      </c>
      <c r="J51" s="3" t="s">
        <v>20</v>
      </c>
      <c r="K51" s="3"/>
      <c r="L51" s="5"/>
      <c r="M51" s="4" t="s">
        <v>161</v>
      </c>
      <c r="N51" s="3"/>
    </row>
    <row r="52" spans="1:14" ht="28.9">
      <c r="A52" s="2">
        <v>8</v>
      </c>
      <c r="B52" s="3" t="s">
        <v>189</v>
      </c>
      <c r="C52" s="4" t="s">
        <v>190</v>
      </c>
      <c r="D52" s="4" t="s">
        <v>191</v>
      </c>
      <c r="E52" s="3" t="s">
        <v>116</v>
      </c>
      <c r="F52" s="3" t="s">
        <v>140</v>
      </c>
      <c r="G52" s="3">
        <v>1</v>
      </c>
      <c r="H52" s="5">
        <v>8000000</v>
      </c>
      <c r="I52" s="5">
        <v>8000000</v>
      </c>
      <c r="J52" s="4" t="s">
        <v>43</v>
      </c>
      <c r="K52" s="3"/>
      <c r="L52" s="5"/>
      <c r="M52" s="4" t="s">
        <v>161</v>
      </c>
      <c r="N52" s="3"/>
    </row>
    <row r="53" spans="1:14" ht="28.9">
      <c r="A53" s="2">
        <v>8</v>
      </c>
      <c r="B53" s="3" t="s">
        <v>192</v>
      </c>
      <c r="C53" s="4" t="s">
        <v>193</v>
      </c>
      <c r="D53" s="4" t="s">
        <v>194</v>
      </c>
      <c r="E53" s="3" t="s">
        <v>29</v>
      </c>
      <c r="F53" s="3" t="s">
        <v>19</v>
      </c>
      <c r="G53" s="3">
        <v>1</v>
      </c>
      <c r="H53" s="5">
        <v>5000000</v>
      </c>
      <c r="I53" s="5">
        <v>5000000</v>
      </c>
      <c r="J53" s="3" t="s">
        <v>20</v>
      </c>
      <c r="K53" s="3">
        <v>58823.529411764714</v>
      </c>
      <c r="L53" s="5">
        <v>85</v>
      </c>
      <c r="M53" s="4" t="s">
        <v>166</v>
      </c>
      <c r="N53" s="3"/>
    </row>
    <row r="54" spans="1:14" ht="28.9">
      <c r="A54" s="2">
        <v>8</v>
      </c>
      <c r="B54" s="3" t="s">
        <v>192</v>
      </c>
      <c r="C54" s="4" t="s">
        <v>193</v>
      </c>
      <c r="D54" s="4" t="s">
        <v>195</v>
      </c>
      <c r="E54" s="3" t="s">
        <v>116</v>
      </c>
      <c r="F54" s="3" t="s">
        <v>19</v>
      </c>
      <c r="G54" s="3">
        <v>1</v>
      </c>
      <c r="H54" s="5">
        <v>6000000</v>
      </c>
      <c r="I54" s="5">
        <v>6000000</v>
      </c>
      <c r="J54" s="3" t="s">
        <v>20</v>
      </c>
      <c r="K54" s="3"/>
      <c r="L54" s="5"/>
      <c r="M54" s="4" t="s">
        <v>161</v>
      </c>
      <c r="N54" s="3"/>
    </row>
    <row r="55" spans="1:14" ht="28.9">
      <c r="A55" s="2">
        <v>8</v>
      </c>
      <c r="B55" s="3" t="s">
        <v>196</v>
      </c>
      <c r="C55" s="4" t="s">
        <v>197</v>
      </c>
      <c r="D55" s="4" t="s">
        <v>198</v>
      </c>
      <c r="E55" s="3" t="s">
        <v>116</v>
      </c>
      <c r="F55" s="3" t="s">
        <v>19</v>
      </c>
      <c r="G55" s="3">
        <v>1</v>
      </c>
      <c r="H55" s="5">
        <v>4000000</v>
      </c>
      <c r="I55" s="5">
        <v>4000000</v>
      </c>
      <c r="J55" s="3" t="s">
        <v>20</v>
      </c>
      <c r="K55" s="3"/>
      <c r="L55" s="5"/>
      <c r="M55" s="4" t="s">
        <v>161</v>
      </c>
      <c r="N55" s="3"/>
    </row>
    <row r="56" spans="1:14" ht="28.9">
      <c r="A56" s="2">
        <v>8</v>
      </c>
      <c r="B56" s="3" t="s">
        <v>199</v>
      </c>
      <c r="C56" s="4" t="s">
        <v>200</v>
      </c>
      <c r="D56" s="4" t="s">
        <v>201</v>
      </c>
      <c r="E56" s="3" t="s">
        <v>116</v>
      </c>
      <c r="F56" s="3" t="s">
        <v>19</v>
      </c>
      <c r="G56" s="3">
        <v>1</v>
      </c>
      <c r="H56" s="5">
        <v>10000000</v>
      </c>
      <c r="I56" s="5">
        <v>10000000</v>
      </c>
      <c r="J56" s="3" t="s">
        <v>20</v>
      </c>
      <c r="K56" s="3"/>
      <c r="L56" s="5"/>
      <c r="M56" s="4" t="s">
        <v>26</v>
      </c>
      <c r="N56" s="3"/>
    </row>
    <row r="57" spans="1:14" ht="28.9">
      <c r="A57" s="2">
        <v>8</v>
      </c>
      <c r="B57" s="3" t="s">
        <v>202</v>
      </c>
      <c r="C57" s="4" t="s">
        <v>203</v>
      </c>
      <c r="D57" s="4" t="s">
        <v>204</v>
      </c>
      <c r="E57" s="3" t="s">
        <v>116</v>
      </c>
      <c r="F57" s="3" t="s">
        <v>205</v>
      </c>
      <c r="G57" s="3">
        <v>600000</v>
      </c>
      <c r="H57" s="5">
        <v>200</v>
      </c>
      <c r="I57" s="5">
        <v>120000000</v>
      </c>
      <c r="J57" s="4" t="s">
        <v>43</v>
      </c>
      <c r="K57" s="3"/>
      <c r="L57" s="5"/>
      <c r="M57" s="4" t="s">
        <v>78</v>
      </c>
      <c r="N57" s="4" t="s">
        <v>206</v>
      </c>
    </row>
    <row r="58" spans="1:14" ht="28.9">
      <c r="A58" s="2">
        <v>8</v>
      </c>
      <c r="B58" s="3" t="s">
        <v>202</v>
      </c>
      <c r="C58" s="4" t="s">
        <v>203</v>
      </c>
      <c r="D58" s="4" t="s">
        <v>207</v>
      </c>
      <c r="E58" s="3" t="s">
        <v>29</v>
      </c>
      <c r="F58" s="3" t="s">
        <v>205</v>
      </c>
      <c r="G58" s="3">
        <v>600000</v>
      </c>
      <c r="H58" s="5">
        <v>33.33</v>
      </c>
      <c r="I58" s="5">
        <v>19998000</v>
      </c>
      <c r="J58" s="3" t="s">
        <v>31</v>
      </c>
      <c r="K58" s="3">
        <v>249975</v>
      </c>
      <c r="L58" s="5">
        <v>80</v>
      </c>
      <c r="M58" s="4" t="s">
        <v>166</v>
      </c>
      <c r="N58" s="4" t="s">
        <v>208</v>
      </c>
    </row>
    <row r="59" spans="1:14" ht="28.9">
      <c r="A59" s="2">
        <v>8</v>
      </c>
      <c r="B59" s="3" t="s">
        <v>209</v>
      </c>
      <c r="C59" s="4" t="s">
        <v>210</v>
      </c>
      <c r="D59" s="4" t="s">
        <v>211</v>
      </c>
      <c r="E59" s="3" t="s">
        <v>116</v>
      </c>
      <c r="F59" s="3" t="s">
        <v>19</v>
      </c>
      <c r="G59" s="3">
        <v>1</v>
      </c>
      <c r="H59" s="5">
        <v>12000000</v>
      </c>
      <c r="I59" s="5">
        <v>12000000</v>
      </c>
      <c r="J59" s="3" t="s">
        <v>20</v>
      </c>
      <c r="K59" s="3"/>
      <c r="L59" s="5"/>
      <c r="M59" s="4" t="s">
        <v>78</v>
      </c>
      <c r="N59" s="3"/>
    </row>
    <row r="60" spans="1:14" ht="28.9">
      <c r="A60" s="2">
        <v>8</v>
      </c>
      <c r="B60" s="3" t="s">
        <v>212</v>
      </c>
      <c r="C60" s="4" t="s">
        <v>213</v>
      </c>
      <c r="D60" s="4" t="s">
        <v>214</v>
      </c>
      <c r="E60" s="3" t="s">
        <v>116</v>
      </c>
      <c r="F60" s="3" t="s">
        <v>215</v>
      </c>
      <c r="G60" s="3">
        <v>150000</v>
      </c>
      <c r="H60" s="5">
        <v>200</v>
      </c>
      <c r="I60" s="5">
        <v>30000000</v>
      </c>
      <c r="J60" s="4" t="s">
        <v>43</v>
      </c>
      <c r="K60" s="3"/>
      <c r="L60" s="5"/>
      <c r="M60" s="4" t="s">
        <v>78</v>
      </c>
      <c r="N60" s="3"/>
    </row>
    <row r="61" spans="1:14" ht="28.9">
      <c r="A61" s="2">
        <v>8</v>
      </c>
      <c r="B61" s="3" t="s">
        <v>216</v>
      </c>
      <c r="C61" s="4" t="s">
        <v>217</v>
      </c>
      <c r="D61" s="4" t="s">
        <v>218</v>
      </c>
      <c r="E61" s="3" t="s">
        <v>116</v>
      </c>
      <c r="F61" s="3" t="s">
        <v>19</v>
      </c>
      <c r="G61" s="3">
        <v>1</v>
      </c>
      <c r="H61" s="5">
        <v>8000000</v>
      </c>
      <c r="I61" s="5">
        <v>8000000</v>
      </c>
      <c r="J61" s="3" t="s">
        <v>20</v>
      </c>
      <c r="K61" s="3"/>
      <c r="L61" s="5"/>
      <c r="M61" s="4" t="s">
        <v>78</v>
      </c>
      <c r="N61" s="3"/>
    </row>
    <row r="62" spans="1:14" ht="28.9">
      <c r="A62" s="2">
        <v>8</v>
      </c>
      <c r="B62" s="3" t="s">
        <v>219</v>
      </c>
      <c r="C62" s="4" t="s">
        <v>220</v>
      </c>
      <c r="D62" s="4" t="s">
        <v>221</v>
      </c>
      <c r="E62" s="3" t="s">
        <v>116</v>
      </c>
      <c r="F62" s="3" t="s">
        <v>19</v>
      </c>
      <c r="G62" s="3">
        <v>1</v>
      </c>
      <c r="H62" s="5">
        <v>10000000</v>
      </c>
      <c r="I62" s="5">
        <v>10000000</v>
      </c>
      <c r="J62" s="3" t="s">
        <v>20</v>
      </c>
      <c r="K62" s="3"/>
      <c r="L62" s="5"/>
      <c r="M62" s="4" t="s">
        <v>78</v>
      </c>
      <c r="N62" s="3"/>
    </row>
    <row r="63" spans="1:14" ht="28.9">
      <c r="A63" s="2">
        <v>9</v>
      </c>
      <c r="B63" s="3" t="s">
        <v>222</v>
      </c>
      <c r="C63" s="4" t="s">
        <v>223</v>
      </c>
      <c r="D63" s="4" t="s">
        <v>224</v>
      </c>
      <c r="E63" s="3" t="s">
        <v>116</v>
      </c>
      <c r="F63" s="3" t="s">
        <v>19</v>
      </c>
      <c r="G63" s="3">
        <v>1</v>
      </c>
      <c r="H63" s="5">
        <v>5500000</v>
      </c>
      <c r="I63" s="5">
        <v>5500000</v>
      </c>
      <c r="J63" s="3" t="s">
        <v>20</v>
      </c>
      <c r="K63" s="3"/>
      <c r="L63" s="5"/>
      <c r="M63" s="4" t="s">
        <v>26</v>
      </c>
      <c r="N63" s="3"/>
    </row>
    <row r="64" spans="1:14" ht="28.9">
      <c r="A64" s="2">
        <v>9</v>
      </c>
      <c r="B64" s="3" t="s">
        <v>225</v>
      </c>
      <c r="C64" s="4" t="s">
        <v>226</v>
      </c>
      <c r="D64" s="4" t="s">
        <v>227</v>
      </c>
      <c r="E64" s="3" t="s">
        <v>116</v>
      </c>
      <c r="F64" s="3" t="s">
        <v>19</v>
      </c>
      <c r="G64" s="3">
        <v>1</v>
      </c>
      <c r="H64" s="5">
        <v>3000000</v>
      </c>
      <c r="I64" s="5">
        <v>3000000</v>
      </c>
      <c r="J64" s="3" t="s">
        <v>20</v>
      </c>
      <c r="K64" s="3"/>
      <c r="L64" s="5"/>
      <c r="M64" s="4" t="s">
        <v>26</v>
      </c>
      <c r="N64" s="3"/>
    </row>
    <row r="65" spans="1:14" ht="28.9">
      <c r="A65" s="2">
        <v>9</v>
      </c>
      <c r="B65" s="3" t="s">
        <v>228</v>
      </c>
      <c r="C65" s="4" t="s">
        <v>229</v>
      </c>
      <c r="D65" s="4" t="s">
        <v>230</v>
      </c>
      <c r="E65" s="3" t="s">
        <v>29</v>
      </c>
      <c r="F65" s="3" t="s">
        <v>19</v>
      </c>
      <c r="G65" s="3">
        <v>1</v>
      </c>
      <c r="H65" s="5">
        <v>1500000</v>
      </c>
      <c r="I65" s="5">
        <v>1500000</v>
      </c>
      <c r="J65" s="3" t="s">
        <v>20</v>
      </c>
      <c r="K65" s="3">
        <v>20798.66888519135</v>
      </c>
      <c r="L65" s="5">
        <v>72.12</v>
      </c>
      <c r="M65" s="4" t="s">
        <v>26</v>
      </c>
      <c r="N65" s="3"/>
    </row>
    <row r="66" spans="1:14" ht="28.9">
      <c r="A66" s="2">
        <v>9</v>
      </c>
      <c r="B66" s="3" t="s">
        <v>231</v>
      </c>
      <c r="C66" s="4" t="s">
        <v>232</v>
      </c>
      <c r="D66" s="4" t="s">
        <v>233</v>
      </c>
      <c r="E66" s="3" t="s">
        <v>29</v>
      </c>
      <c r="F66" s="3" t="s">
        <v>19</v>
      </c>
      <c r="G66" s="3">
        <v>1</v>
      </c>
      <c r="H66" s="5">
        <v>750000</v>
      </c>
      <c r="I66" s="5">
        <v>750000</v>
      </c>
      <c r="J66" s="3" t="s">
        <v>20</v>
      </c>
      <c r="K66" s="3">
        <v>7894.7368421052633</v>
      </c>
      <c r="L66" s="5">
        <v>95</v>
      </c>
      <c r="M66" s="4" t="s">
        <v>26</v>
      </c>
      <c r="N66" s="3"/>
    </row>
    <row r="67" spans="1:14" ht="28.9">
      <c r="A67" s="2">
        <v>9</v>
      </c>
      <c r="B67" s="3" t="s">
        <v>234</v>
      </c>
      <c r="C67" s="4" t="s">
        <v>235</v>
      </c>
      <c r="D67" s="4" t="s">
        <v>236</v>
      </c>
      <c r="E67" s="3" t="s">
        <v>29</v>
      </c>
      <c r="F67" s="3" t="s">
        <v>19</v>
      </c>
      <c r="G67" s="3">
        <v>1</v>
      </c>
      <c r="H67" s="5">
        <v>750000</v>
      </c>
      <c r="I67" s="5">
        <v>750000</v>
      </c>
      <c r="J67" s="3" t="s">
        <v>20</v>
      </c>
      <c r="K67" s="3">
        <v>10000</v>
      </c>
      <c r="L67" s="5">
        <v>75</v>
      </c>
      <c r="M67" s="4" t="s">
        <v>26</v>
      </c>
      <c r="N67" s="3"/>
    </row>
    <row r="68" spans="1:14" ht="28.9">
      <c r="A68" s="2">
        <v>10</v>
      </c>
      <c r="B68" s="3" t="s">
        <v>237</v>
      </c>
      <c r="C68" s="4" t="s">
        <v>238</v>
      </c>
      <c r="D68" s="4" t="s">
        <v>239</v>
      </c>
      <c r="E68" s="3" t="s">
        <v>29</v>
      </c>
      <c r="F68" s="3" t="s">
        <v>19</v>
      </c>
      <c r="G68" s="3">
        <v>1</v>
      </c>
      <c r="H68" s="5">
        <v>800000</v>
      </c>
      <c r="I68" s="5">
        <v>800000</v>
      </c>
      <c r="J68" s="3" t="s">
        <v>20</v>
      </c>
      <c r="K68" s="3">
        <v>9411.7647058823532</v>
      </c>
      <c r="L68" s="5">
        <v>85</v>
      </c>
      <c r="M68" s="4" t="s">
        <v>26</v>
      </c>
      <c r="N68" s="3"/>
    </row>
    <row r="69" spans="1:14" ht="28.9">
      <c r="A69" s="2">
        <v>10</v>
      </c>
      <c r="B69" s="3" t="s">
        <v>240</v>
      </c>
      <c r="C69" s="4" t="s">
        <v>241</v>
      </c>
      <c r="D69" s="4" t="s">
        <v>242</v>
      </c>
      <c r="E69" s="3" t="s">
        <v>29</v>
      </c>
      <c r="F69" s="3" t="s">
        <v>19</v>
      </c>
      <c r="G69" s="3">
        <v>1</v>
      </c>
      <c r="H69" s="5">
        <v>900000</v>
      </c>
      <c r="I69" s="5">
        <v>900000</v>
      </c>
      <c r="J69" s="3" t="s">
        <v>20</v>
      </c>
      <c r="K69" s="3">
        <v>12000</v>
      </c>
      <c r="L69" s="5">
        <v>75</v>
      </c>
      <c r="M69" s="4" t="s">
        <v>26</v>
      </c>
      <c r="N69" s="3"/>
    </row>
    <row r="70" spans="1:14" ht="28.9">
      <c r="A70" s="2">
        <v>10</v>
      </c>
      <c r="B70" s="3" t="s">
        <v>243</v>
      </c>
      <c r="C70" s="4" t="s">
        <v>244</v>
      </c>
      <c r="D70" s="4" t="s">
        <v>245</v>
      </c>
      <c r="E70" s="3" t="s">
        <v>29</v>
      </c>
      <c r="F70" s="3" t="s">
        <v>19</v>
      </c>
      <c r="G70" s="3">
        <v>1</v>
      </c>
      <c r="H70" s="5">
        <v>2000000</v>
      </c>
      <c r="I70" s="5">
        <v>2000000</v>
      </c>
      <c r="J70" s="3" t="s">
        <v>20</v>
      </c>
      <c r="K70" s="3">
        <v>23529.411764705881</v>
      </c>
      <c r="L70" s="5">
        <v>85</v>
      </c>
      <c r="M70" s="4" t="s">
        <v>78</v>
      </c>
      <c r="N70" s="3"/>
    </row>
    <row r="71" spans="1:14" ht="28.9">
      <c r="A71" s="2">
        <v>10</v>
      </c>
      <c r="B71" s="3" t="s">
        <v>246</v>
      </c>
      <c r="C71" s="4" t="s">
        <v>247</v>
      </c>
      <c r="D71" s="4" t="s">
        <v>248</v>
      </c>
      <c r="E71" s="3" t="s">
        <v>29</v>
      </c>
      <c r="F71" s="3" t="s">
        <v>19</v>
      </c>
      <c r="G71" s="3">
        <v>1</v>
      </c>
      <c r="H71" s="5">
        <v>600000</v>
      </c>
      <c r="I71" s="5">
        <v>600000</v>
      </c>
      <c r="J71" s="3" t="s">
        <v>20</v>
      </c>
      <c r="K71" s="3">
        <v>6315.7894736842109</v>
      </c>
      <c r="L71" s="5">
        <v>95</v>
      </c>
      <c r="M71" s="4" t="s">
        <v>26</v>
      </c>
      <c r="N71" s="3"/>
    </row>
    <row r="72" spans="1:14" ht="28.9">
      <c r="A72" s="2">
        <v>10</v>
      </c>
      <c r="B72" s="3" t="s">
        <v>249</v>
      </c>
      <c r="C72" s="4" t="s">
        <v>250</v>
      </c>
      <c r="D72" s="4" t="s">
        <v>251</v>
      </c>
      <c r="E72" s="3" t="s">
        <v>18</v>
      </c>
      <c r="F72" s="3" t="s">
        <v>19</v>
      </c>
      <c r="G72" s="3">
        <v>1</v>
      </c>
      <c r="H72" s="5">
        <v>1200000</v>
      </c>
      <c r="I72" s="5">
        <v>1200000</v>
      </c>
      <c r="J72" s="3" t="s">
        <v>20</v>
      </c>
      <c r="K72" s="3"/>
      <c r="L72" s="5"/>
      <c r="M72" s="4" t="s">
        <v>26</v>
      </c>
      <c r="N72" s="3"/>
    </row>
    <row r="73" spans="1:14" ht="28.9">
      <c r="A73" s="2">
        <v>10</v>
      </c>
      <c r="B73" s="3" t="s">
        <v>249</v>
      </c>
      <c r="C73" s="4" t="s">
        <v>250</v>
      </c>
      <c r="D73" s="4" t="s">
        <v>252</v>
      </c>
      <c r="E73" s="3" t="s">
        <v>116</v>
      </c>
      <c r="F73" s="3" t="s">
        <v>19</v>
      </c>
      <c r="G73" s="3">
        <v>1</v>
      </c>
      <c r="H73" s="5">
        <v>15000000</v>
      </c>
      <c r="I73" s="5">
        <v>15000000</v>
      </c>
      <c r="J73" s="3" t="s">
        <v>20</v>
      </c>
      <c r="K73" s="3"/>
      <c r="L73" s="5"/>
      <c r="M73" s="4" t="s">
        <v>26</v>
      </c>
      <c r="N73" s="4" t="s">
        <v>253</v>
      </c>
    </row>
    <row r="74" spans="1:14" ht="28.9">
      <c r="A74" s="2">
        <v>11</v>
      </c>
      <c r="B74" s="3" t="s">
        <v>254</v>
      </c>
      <c r="C74" s="4" t="s">
        <v>255</v>
      </c>
      <c r="D74" s="4" t="s">
        <v>256</v>
      </c>
      <c r="E74" s="3" t="s">
        <v>18</v>
      </c>
      <c r="F74" s="3" t="s">
        <v>19</v>
      </c>
      <c r="G74" s="3">
        <v>1</v>
      </c>
      <c r="H74" s="5">
        <v>600000</v>
      </c>
      <c r="I74" s="5">
        <v>600000</v>
      </c>
      <c r="J74" s="3" t="s">
        <v>20</v>
      </c>
      <c r="K74" s="3"/>
      <c r="L74" s="5"/>
      <c r="M74" s="4" t="s">
        <v>26</v>
      </c>
      <c r="N74" s="3"/>
    </row>
    <row r="75" spans="1:14" ht="28.9">
      <c r="A75" s="2">
        <v>11</v>
      </c>
      <c r="B75" s="3" t="s">
        <v>257</v>
      </c>
      <c r="C75" s="4" t="s">
        <v>258</v>
      </c>
      <c r="D75" s="4" t="s">
        <v>259</v>
      </c>
      <c r="E75" s="3" t="s">
        <v>116</v>
      </c>
      <c r="F75" s="3" t="s">
        <v>19</v>
      </c>
      <c r="G75" s="3">
        <v>1</v>
      </c>
      <c r="H75" s="5">
        <v>2000000</v>
      </c>
      <c r="I75" s="5">
        <v>2000000</v>
      </c>
      <c r="J75" s="3" t="s">
        <v>20</v>
      </c>
      <c r="K75" s="3"/>
      <c r="L75" s="5"/>
      <c r="M75" s="4" t="s">
        <v>26</v>
      </c>
      <c r="N75" s="3"/>
    </row>
    <row r="76" spans="1:14" ht="28.9">
      <c r="A76" s="2">
        <v>11</v>
      </c>
      <c r="B76" s="3" t="s">
        <v>260</v>
      </c>
      <c r="C76" s="4" t="s">
        <v>261</v>
      </c>
      <c r="D76" s="4" t="s">
        <v>262</v>
      </c>
      <c r="E76" s="3" t="s">
        <v>18</v>
      </c>
      <c r="F76" s="3" t="s">
        <v>19</v>
      </c>
      <c r="G76" s="3">
        <v>1</v>
      </c>
      <c r="H76" s="5">
        <v>300000</v>
      </c>
      <c r="I76" s="5">
        <v>300000</v>
      </c>
      <c r="J76" s="3" t="s">
        <v>20</v>
      </c>
      <c r="K76" s="3"/>
      <c r="L76" s="5"/>
      <c r="M76" s="4" t="s">
        <v>26</v>
      </c>
      <c r="N76" s="3"/>
    </row>
    <row r="77" spans="1:14" ht="28.9">
      <c r="A77" s="2">
        <v>11</v>
      </c>
      <c r="B77" s="3" t="s">
        <v>263</v>
      </c>
      <c r="C77" s="3" t="s">
        <v>264</v>
      </c>
      <c r="D77" s="4" t="s">
        <v>265</v>
      </c>
      <c r="E77" s="3" t="s">
        <v>18</v>
      </c>
      <c r="F77" s="3" t="s">
        <v>19</v>
      </c>
      <c r="G77" s="3">
        <v>1</v>
      </c>
      <c r="H77" s="5">
        <v>1000000</v>
      </c>
      <c r="I77" s="5">
        <v>1000000</v>
      </c>
      <c r="J77" s="3" t="s">
        <v>20</v>
      </c>
      <c r="K77" s="3"/>
      <c r="L77" s="5"/>
      <c r="M77" s="4" t="s">
        <v>26</v>
      </c>
      <c r="N77" s="3"/>
    </row>
    <row r="78" spans="1:14" ht="28.9">
      <c r="A78" s="2">
        <v>11</v>
      </c>
      <c r="B78" s="3" t="s">
        <v>263</v>
      </c>
      <c r="C78" s="3" t="s">
        <v>264</v>
      </c>
      <c r="D78" s="4" t="s">
        <v>266</v>
      </c>
      <c r="E78" s="3" t="s">
        <v>18</v>
      </c>
      <c r="F78" s="3" t="s">
        <v>19</v>
      </c>
      <c r="G78" s="3">
        <v>1</v>
      </c>
      <c r="H78" s="5">
        <v>2000000</v>
      </c>
      <c r="I78" s="5">
        <v>2000000</v>
      </c>
      <c r="J78" s="3" t="s">
        <v>20</v>
      </c>
      <c r="K78" s="3"/>
      <c r="L78" s="5"/>
      <c r="M78" s="4" t="s">
        <v>26</v>
      </c>
      <c r="N78" s="3"/>
    </row>
  </sheetData>
  <mergeCells count="1">
    <mergeCell ref="A1:F1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8"/>
  <sheetViews>
    <sheetView showGridLines="0" workbookViewId="0">
      <selection sqref="A1:F1"/>
    </sheetView>
  </sheetViews>
  <sheetFormatPr defaultRowHeight="14.45"/>
  <cols>
    <col min="1" max="1" width="10" customWidth="1"/>
    <col min="2" max="2" width="52" customWidth="1"/>
    <col min="3" max="4" width="12" customWidth="1"/>
    <col min="5" max="7" width="14" customWidth="1"/>
    <col min="8" max="8" width="16" customWidth="1"/>
    <col min="9" max="10" width="14" customWidth="1"/>
  </cols>
  <sheetData>
    <row r="1" spans="1:10" ht="18">
      <c r="A1" s="26" t="s">
        <v>267</v>
      </c>
      <c r="B1" s="27"/>
      <c r="C1" s="27"/>
      <c r="D1" s="27"/>
      <c r="E1" s="27"/>
      <c r="F1" s="27"/>
    </row>
    <row r="3" spans="1:10" ht="31.9" customHeight="1">
      <c r="A3" s="1" t="s">
        <v>2</v>
      </c>
      <c r="B3" s="1" t="s">
        <v>4</v>
      </c>
      <c r="C3" s="1" t="s">
        <v>268</v>
      </c>
      <c r="D3" s="1" t="s">
        <v>269</v>
      </c>
      <c r="E3" s="1" t="s">
        <v>270</v>
      </c>
      <c r="F3" s="1" t="s">
        <v>271</v>
      </c>
      <c r="G3" s="1" t="s">
        <v>272</v>
      </c>
      <c r="H3" s="1" t="s">
        <v>273</v>
      </c>
      <c r="I3" s="1" t="s">
        <v>274</v>
      </c>
      <c r="J3" s="1" t="s">
        <v>275</v>
      </c>
    </row>
    <row r="4" spans="1:10">
      <c r="A4" s="3" t="s">
        <v>23</v>
      </c>
      <c r="B4" s="4" t="s">
        <v>28</v>
      </c>
      <c r="C4" s="3" t="s">
        <v>30</v>
      </c>
      <c r="D4" s="3">
        <v>241</v>
      </c>
      <c r="E4" s="5">
        <v>12500</v>
      </c>
      <c r="F4" s="5">
        <v>3000000</v>
      </c>
      <c r="G4" s="3">
        <v>240</v>
      </c>
      <c r="H4" s="5">
        <v>12500</v>
      </c>
      <c r="I4" s="5">
        <v>3000000</v>
      </c>
      <c r="J4" s="5">
        <v>0</v>
      </c>
    </row>
    <row r="5" spans="1:10">
      <c r="A5" s="3" t="s">
        <v>15</v>
      </c>
      <c r="B5" s="4" t="s">
        <v>17</v>
      </c>
      <c r="C5" s="3" t="s">
        <v>276</v>
      </c>
      <c r="D5" s="3">
        <v>2</v>
      </c>
      <c r="E5" s="5">
        <v>250000</v>
      </c>
      <c r="F5" s="5">
        <v>250000</v>
      </c>
      <c r="G5" s="3">
        <v>1</v>
      </c>
      <c r="H5" s="5">
        <v>250000</v>
      </c>
      <c r="I5" s="5">
        <v>250000</v>
      </c>
      <c r="J5" s="5">
        <v>0</v>
      </c>
    </row>
    <row r="6" spans="1:10" ht="28.9">
      <c r="A6" s="3" t="s">
        <v>23</v>
      </c>
      <c r="B6" s="4" t="s">
        <v>25</v>
      </c>
      <c r="C6" s="3" t="s">
        <v>276</v>
      </c>
      <c r="D6" s="3">
        <v>2</v>
      </c>
      <c r="E6" s="5">
        <v>3000000</v>
      </c>
      <c r="F6" s="5">
        <v>3000000</v>
      </c>
      <c r="G6" s="3">
        <v>1</v>
      </c>
      <c r="H6" s="5">
        <v>3000000</v>
      </c>
      <c r="I6" s="5">
        <v>3000000</v>
      </c>
      <c r="J6" s="5">
        <v>0</v>
      </c>
    </row>
    <row r="7" spans="1:10" ht="28.9">
      <c r="A7" s="3" t="s">
        <v>39</v>
      </c>
      <c r="B7" s="4" t="s">
        <v>41</v>
      </c>
      <c r="C7" s="3" t="s">
        <v>42</v>
      </c>
      <c r="D7" s="3">
        <v>1801</v>
      </c>
      <c r="E7" s="5">
        <v>1000</v>
      </c>
      <c r="F7" s="5">
        <v>1800000</v>
      </c>
      <c r="G7" s="3">
        <v>1800</v>
      </c>
      <c r="H7" s="5">
        <v>1000</v>
      </c>
      <c r="I7" s="5">
        <v>1800000</v>
      </c>
      <c r="J7" s="5">
        <v>0</v>
      </c>
    </row>
    <row r="8" spans="1:10">
      <c r="A8" s="3" t="s">
        <v>46</v>
      </c>
      <c r="B8" s="4" t="s">
        <v>48</v>
      </c>
      <c r="C8" s="3" t="s">
        <v>276</v>
      </c>
      <c r="D8" s="3">
        <v>2</v>
      </c>
      <c r="E8" s="5">
        <v>350000</v>
      </c>
      <c r="F8" s="5">
        <v>350000</v>
      </c>
      <c r="G8" s="3">
        <v>1</v>
      </c>
      <c r="H8" s="5">
        <v>350000</v>
      </c>
      <c r="I8" s="5">
        <v>350000</v>
      </c>
      <c r="J8" s="5">
        <v>0</v>
      </c>
    </row>
    <row r="9" spans="1:10">
      <c r="A9" s="3" t="s">
        <v>51</v>
      </c>
      <c r="B9" s="4" t="s">
        <v>53</v>
      </c>
      <c r="C9" s="3" t="s">
        <v>276</v>
      </c>
      <c r="D9" s="3">
        <v>2</v>
      </c>
      <c r="E9" s="5">
        <v>600000</v>
      </c>
      <c r="F9" s="5">
        <v>600000</v>
      </c>
      <c r="G9" s="3">
        <v>1</v>
      </c>
      <c r="H9" s="5">
        <v>600000</v>
      </c>
      <c r="I9" s="5">
        <v>600000</v>
      </c>
      <c r="J9" s="5">
        <v>0</v>
      </c>
    </row>
    <row r="10" spans="1:10">
      <c r="A10" s="3" t="s">
        <v>54</v>
      </c>
      <c r="B10" s="4" t="s">
        <v>56</v>
      </c>
      <c r="C10" s="3" t="s">
        <v>276</v>
      </c>
      <c r="D10" s="3">
        <v>2</v>
      </c>
      <c r="E10" s="5">
        <v>1200000</v>
      </c>
      <c r="F10" s="5">
        <v>1200000</v>
      </c>
      <c r="G10" s="3">
        <v>1</v>
      </c>
      <c r="H10" s="5">
        <v>1200000</v>
      </c>
      <c r="I10" s="5">
        <v>1200000</v>
      </c>
      <c r="J10" s="5">
        <v>0</v>
      </c>
    </row>
    <row r="11" spans="1:10">
      <c r="A11" s="3" t="s">
        <v>57</v>
      </c>
      <c r="B11" s="4" t="s">
        <v>59</v>
      </c>
      <c r="C11" s="3" t="s">
        <v>276</v>
      </c>
      <c r="D11" s="3">
        <v>2</v>
      </c>
      <c r="E11" s="5">
        <v>200000</v>
      </c>
      <c r="F11" s="5">
        <v>200000</v>
      </c>
      <c r="G11" s="3">
        <v>1</v>
      </c>
      <c r="H11" s="5">
        <v>200000</v>
      </c>
      <c r="I11" s="5">
        <v>200000</v>
      </c>
      <c r="J11" s="5">
        <v>0</v>
      </c>
    </row>
    <row r="12" spans="1:10">
      <c r="A12" s="3" t="s">
        <v>60</v>
      </c>
      <c r="B12" s="4" t="s">
        <v>62</v>
      </c>
      <c r="C12" s="3" t="s">
        <v>276</v>
      </c>
      <c r="D12" s="3">
        <v>2</v>
      </c>
      <c r="E12" s="5">
        <v>250000</v>
      </c>
      <c r="F12" s="5">
        <v>250000</v>
      </c>
      <c r="G12" s="3">
        <v>1</v>
      </c>
      <c r="H12" s="5">
        <v>250000</v>
      </c>
      <c r="I12" s="5">
        <v>250000</v>
      </c>
      <c r="J12" s="5">
        <v>0</v>
      </c>
    </row>
    <row r="13" spans="1:10">
      <c r="A13" s="3" t="s">
        <v>63</v>
      </c>
      <c r="B13" s="4" t="s">
        <v>65</v>
      </c>
      <c r="C13" s="3" t="s">
        <v>276</v>
      </c>
      <c r="D13" s="3">
        <v>2</v>
      </c>
      <c r="E13" s="5">
        <v>1500000</v>
      </c>
      <c r="F13" s="5">
        <v>1500000</v>
      </c>
      <c r="G13" s="3">
        <v>1</v>
      </c>
      <c r="H13" s="5">
        <v>1500000</v>
      </c>
      <c r="I13" s="5">
        <v>1500000</v>
      </c>
      <c r="J13" s="5">
        <v>0</v>
      </c>
    </row>
    <row r="14" spans="1:10">
      <c r="A14" s="3" t="s">
        <v>66</v>
      </c>
      <c r="B14" s="4" t="s">
        <v>68</v>
      </c>
      <c r="C14" s="3" t="s">
        <v>276</v>
      </c>
      <c r="D14" s="3">
        <v>2</v>
      </c>
      <c r="E14" s="5">
        <v>500000</v>
      </c>
      <c r="F14" s="5">
        <v>500000</v>
      </c>
      <c r="G14" s="3">
        <v>1</v>
      </c>
      <c r="H14" s="5">
        <v>500000</v>
      </c>
      <c r="I14" s="5">
        <v>500000</v>
      </c>
      <c r="J14" s="5">
        <v>0</v>
      </c>
    </row>
    <row r="15" spans="1:10">
      <c r="A15" s="3" t="s">
        <v>69</v>
      </c>
      <c r="B15" s="4" t="s">
        <v>71</v>
      </c>
      <c r="C15" s="3" t="s">
        <v>276</v>
      </c>
      <c r="D15" s="3">
        <v>2</v>
      </c>
      <c r="E15" s="5">
        <v>650000</v>
      </c>
      <c r="F15" s="5">
        <v>650000</v>
      </c>
      <c r="G15" s="3">
        <v>1</v>
      </c>
      <c r="H15" s="5">
        <v>650000</v>
      </c>
      <c r="I15" s="5">
        <v>650000</v>
      </c>
      <c r="J15" s="5">
        <v>0</v>
      </c>
    </row>
    <row r="16" spans="1:10">
      <c r="A16" s="3" t="s">
        <v>72</v>
      </c>
      <c r="B16" s="4" t="s">
        <v>74</v>
      </c>
      <c r="C16" s="3" t="s">
        <v>276</v>
      </c>
      <c r="D16" s="3">
        <v>2</v>
      </c>
      <c r="E16" s="5">
        <v>2000000</v>
      </c>
      <c r="F16" s="5">
        <v>2000000</v>
      </c>
      <c r="G16" s="3">
        <v>1</v>
      </c>
      <c r="H16" s="5">
        <v>2000000</v>
      </c>
      <c r="I16" s="5">
        <v>2000000</v>
      </c>
      <c r="J16" s="5">
        <v>0</v>
      </c>
    </row>
    <row r="17" spans="1:10">
      <c r="A17" s="3" t="s">
        <v>75</v>
      </c>
      <c r="B17" s="4" t="s">
        <v>77</v>
      </c>
      <c r="C17" s="3" t="s">
        <v>276</v>
      </c>
      <c r="D17" s="3">
        <v>2</v>
      </c>
      <c r="E17" s="5">
        <v>750000</v>
      </c>
      <c r="F17" s="5">
        <v>750000</v>
      </c>
      <c r="G17" s="3">
        <v>1</v>
      </c>
      <c r="H17" s="5">
        <v>750000</v>
      </c>
      <c r="I17" s="5">
        <v>750000</v>
      </c>
      <c r="J17" s="5">
        <v>0</v>
      </c>
    </row>
    <row r="18" spans="1:10">
      <c r="A18" s="3" t="s">
        <v>79</v>
      </c>
      <c r="B18" s="4" t="s">
        <v>81</v>
      </c>
      <c r="C18" s="3" t="s">
        <v>276</v>
      </c>
      <c r="D18" s="3">
        <v>2</v>
      </c>
      <c r="E18" s="5">
        <v>400000</v>
      </c>
      <c r="F18" s="5">
        <v>400000</v>
      </c>
      <c r="G18" s="3">
        <v>1</v>
      </c>
      <c r="H18" s="5">
        <v>400000</v>
      </c>
      <c r="I18" s="5">
        <v>400000</v>
      </c>
      <c r="J18" s="5">
        <v>0</v>
      </c>
    </row>
    <row r="19" spans="1:10">
      <c r="A19" s="3" t="s">
        <v>82</v>
      </c>
      <c r="B19" s="4" t="s">
        <v>84</v>
      </c>
      <c r="C19" s="3" t="s">
        <v>276</v>
      </c>
      <c r="D19" s="3">
        <v>2</v>
      </c>
      <c r="E19" s="5">
        <v>1200000</v>
      </c>
      <c r="F19" s="5">
        <v>1200000</v>
      </c>
      <c r="G19" s="3">
        <v>1</v>
      </c>
      <c r="H19" s="5">
        <v>1200000</v>
      </c>
      <c r="I19" s="5">
        <v>1200000</v>
      </c>
      <c r="J19" s="5">
        <v>0</v>
      </c>
    </row>
    <row r="20" spans="1:10">
      <c r="A20" s="3" t="s">
        <v>85</v>
      </c>
      <c r="B20" s="4" t="s">
        <v>87</v>
      </c>
      <c r="C20" s="3" t="s">
        <v>276</v>
      </c>
      <c r="D20" s="3">
        <v>2</v>
      </c>
      <c r="E20" s="5">
        <v>250000</v>
      </c>
      <c r="F20" s="5">
        <v>250000</v>
      </c>
      <c r="G20" s="3">
        <v>1</v>
      </c>
      <c r="H20" s="5">
        <v>250000</v>
      </c>
      <c r="I20" s="5">
        <v>250000</v>
      </c>
      <c r="J20" s="5">
        <v>0</v>
      </c>
    </row>
    <row r="21" spans="1:10">
      <c r="A21" s="3" t="s">
        <v>88</v>
      </c>
      <c r="B21" s="4" t="s">
        <v>90</v>
      </c>
      <c r="C21" s="3" t="s">
        <v>276</v>
      </c>
      <c r="D21" s="3">
        <v>2</v>
      </c>
      <c r="E21" s="5">
        <v>800000</v>
      </c>
      <c r="F21" s="5">
        <v>800000</v>
      </c>
      <c r="G21" s="3">
        <v>1</v>
      </c>
      <c r="H21" s="5">
        <v>800000</v>
      </c>
      <c r="I21" s="5">
        <v>800000</v>
      </c>
      <c r="J21" s="5">
        <v>0</v>
      </c>
    </row>
    <row r="22" spans="1:10">
      <c r="A22" s="3" t="s">
        <v>91</v>
      </c>
      <c r="B22" s="4" t="s">
        <v>93</v>
      </c>
      <c r="C22" s="3" t="s">
        <v>276</v>
      </c>
      <c r="D22" s="3">
        <v>2</v>
      </c>
      <c r="E22" s="5">
        <v>900000</v>
      </c>
      <c r="F22" s="5">
        <v>900000</v>
      </c>
      <c r="G22" s="3">
        <v>1</v>
      </c>
      <c r="H22" s="5">
        <v>900000</v>
      </c>
      <c r="I22" s="5">
        <v>900000</v>
      </c>
      <c r="J22" s="5">
        <v>0</v>
      </c>
    </row>
    <row r="23" spans="1:10" ht="28.9">
      <c r="A23" s="3" t="s">
        <v>94</v>
      </c>
      <c r="B23" s="4" t="s">
        <v>96</v>
      </c>
      <c r="C23" s="3" t="s">
        <v>276</v>
      </c>
      <c r="D23" s="3">
        <v>2</v>
      </c>
      <c r="E23" s="5">
        <v>1200000</v>
      </c>
      <c r="F23" s="5">
        <v>1200000</v>
      </c>
      <c r="G23" s="3">
        <v>1</v>
      </c>
      <c r="H23" s="5">
        <v>1200000</v>
      </c>
      <c r="I23" s="5">
        <v>1200000</v>
      </c>
      <c r="J23" s="5">
        <v>0</v>
      </c>
    </row>
    <row r="24" spans="1:10">
      <c r="A24" s="3" t="s">
        <v>97</v>
      </c>
      <c r="B24" s="4" t="s">
        <v>99</v>
      </c>
      <c r="C24" s="3" t="s">
        <v>276</v>
      </c>
      <c r="D24" s="3">
        <v>2</v>
      </c>
      <c r="E24" s="5">
        <v>150000</v>
      </c>
      <c r="F24" s="5">
        <v>150000</v>
      </c>
      <c r="G24" s="3">
        <v>1</v>
      </c>
      <c r="H24" s="5">
        <v>150000</v>
      </c>
      <c r="I24" s="5">
        <v>150000</v>
      </c>
      <c r="J24" s="5">
        <v>0</v>
      </c>
    </row>
    <row r="25" spans="1:10">
      <c r="A25" s="3" t="s">
        <v>100</v>
      </c>
      <c r="B25" s="4" t="s">
        <v>102</v>
      </c>
      <c r="C25" s="3" t="s">
        <v>276</v>
      </c>
      <c r="D25" s="3">
        <v>2</v>
      </c>
      <c r="E25" s="5">
        <v>300000</v>
      </c>
      <c r="F25" s="5">
        <v>300000</v>
      </c>
      <c r="G25" s="3">
        <v>1</v>
      </c>
      <c r="H25" s="5">
        <v>300000</v>
      </c>
      <c r="I25" s="5">
        <v>300000</v>
      </c>
      <c r="J25" s="5">
        <v>0</v>
      </c>
    </row>
    <row r="26" spans="1:10">
      <c r="A26" s="3" t="s">
        <v>103</v>
      </c>
      <c r="B26" s="4" t="s">
        <v>105</v>
      </c>
      <c r="C26" s="3" t="s">
        <v>276</v>
      </c>
      <c r="D26" s="3">
        <v>2</v>
      </c>
      <c r="E26" s="5">
        <v>450000</v>
      </c>
      <c r="F26" s="5">
        <v>450000</v>
      </c>
      <c r="G26" s="3">
        <v>1</v>
      </c>
      <c r="H26" s="5">
        <v>450000</v>
      </c>
      <c r="I26" s="5">
        <v>450000</v>
      </c>
      <c r="J26" s="5">
        <v>0</v>
      </c>
    </row>
    <row r="27" spans="1:10" ht="28.9">
      <c r="A27" s="3" t="s">
        <v>106</v>
      </c>
      <c r="B27" s="4" t="s">
        <v>108</v>
      </c>
      <c r="C27" s="3" t="s">
        <v>276</v>
      </c>
      <c r="D27" s="3">
        <v>2</v>
      </c>
      <c r="E27" s="5">
        <v>2500000</v>
      </c>
      <c r="F27" s="5">
        <v>2500000</v>
      </c>
      <c r="G27" s="3">
        <v>1</v>
      </c>
      <c r="H27" s="5">
        <v>2500000</v>
      </c>
      <c r="I27" s="5">
        <v>2500000</v>
      </c>
      <c r="J27" s="5">
        <v>0</v>
      </c>
    </row>
    <row r="28" spans="1:10">
      <c r="A28" s="3" t="s">
        <v>110</v>
      </c>
      <c r="B28" s="4" t="s">
        <v>112</v>
      </c>
      <c r="C28" s="3" t="s">
        <v>276</v>
      </c>
      <c r="D28" s="3">
        <v>2</v>
      </c>
      <c r="E28" s="5">
        <v>2000000</v>
      </c>
      <c r="F28" s="5">
        <v>2000000</v>
      </c>
      <c r="G28" s="3">
        <v>1</v>
      </c>
      <c r="H28" s="5">
        <v>2000000</v>
      </c>
      <c r="I28" s="5">
        <v>2000000</v>
      </c>
      <c r="J28" s="5">
        <v>0</v>
      </c>
    </row>
    <row r="29" spans="1:10">
      <c r="A29" s="3" t="s">
        <v>113</v>
      </c>
      <c r="B29" s="4" t="s">
        <v>115</v>
      </c>
      <c r="C29" s="3" t="s">
        <v>276</v>
      </c>
      <c r="D29" s="3">
        <v>2</v>
      </c>
      <c r="E29" s="5">
        <v>4000000</v>
      </c>
      <c r="F29" s="5">
        <v>4000000</v>
      </c>
      <c r="G29" s="3">
        <v>1</v>
      </c>
      <c r="H29" s="5">
        <v>4000000</v>
      </c>
      <c r="I29" s="5">
        <v>4000000</v>
      </c>
      <c r="J29" s="5">
        <v>0</v>
      </c>
    </row>
    <row r="30" spans="1:10">
      <c r="A30" s="3" t="s">
        <v>117</v>
      </c>
      <c r="B30" s="4" t="s">
        <v>119</v>
      </c>
      <c r="C30" s="3" t="s">
        <v>276</v>
      </c>
      <c r="D30" s="3">
        <v>2</v>
      </c>
      <c r="E30" s="5">
        <v>1200000</v>
      </c>
      <c r="F30" s="5">
        <v>1200000</v>
      </c>
      <c r="G30" s="3">
        <v>1</v>
      </c>
      <c r="H30" s="5">
        <v>1200000</v>
      </c>
      <c r="I30" s="5">
        <v>1200000</v>
      </c>
      <c r="J30" s="5">
        <v>0</v>
      </c>
    </row>
    <row r="31" spans="1:10">
      <c r="A31" s="3" t="s">
        <v>120</v>
      </c>
      <c r="B31" s="3" t="s">
        <v>122</v>
      </c>
      <c r="C31" s="3" t="s">
        <v>123</v>
      </c>
      <c r="D31" s="3">
        <v>901</v>
      </c>
      <c r="E31" s="5">
        <v>6000</v>
      </c>
      <c r="F31" s="5">
        <v>5400000</v>
      </c>
      <c r="G31" s="3">
        <v>900</v>
      </c>
      <c r="H31" s="5">
        <v>6000</v>
      </c>
      <c r="I31" s="5">
        <v>5400000</v>
      </c>
      <c r="J31" s="5">
        <v>0</v>
      </c>
    </row>
    <row r="32" spans="1:10">
      <c r="A32" s="3" t="s">
        <v>125</v>
      </c>
      <c r="B32" s="4" t="s">
        <v>127</v>
      </c>
      <c r="C32" s="3" t="s">
        <v>128</v>
      </c>
      <c r="D32" s="3">
        <v>151</v>
      </c>
      <c r="E32" s="5">
        <v>80000</v>
      </c>
      <c r="F32" s="5">
        <v>12000000</v>
      </c>
      <c r="G32" s="3">
        <v>150</v>
      </c>
      <c r="H32" s="5">
        <v>80000</v>
      </c>
      <c r="I32" s="5">
        <v>12000000</v>
      </c>
      <c r="J32" s="5">
        <v>0</v>
      </c>
    </row>
    <row r="33" spans="1:10">
      <c r="A33" s="3" t="s">
        <v>130</v>
      </c>
      <c r="B33" s="4" t="s">
        <v>132</v>
      </c>
      <c r="C33" s="3" t="s">
        <v>128</v>
      </c>
      <c r="D33" s="3">
        <v>151</v>
      </c>
      <c r="E33" s="5">
        <v>55000</v>
      </c>
      <c r="F33" s="5">
        <v>8250000</v>
      </c>
      <c r="G33" s="3">
        <v>150</v>
      </c>
      <c r="H33" s="5">
        <v>55000</v>
      </c>
      <c r="I33" s="5">
        <v>8250000</v>
      </c>
      <c r="J33" s="5">
        <v>0</v>
      </c>
    </row>
    <row r="34" spans="1:10">
      <c r="A34" s="3" t="s">
        <v>133</v>
      </c>
      <c r="B34" s="4" t="s">
        <v>135</v>
      </c>
      <c r="C34" s="3" t="s">
        <v>128</v>
      </c>
      <c r="D34" s="3">
        <v>151</v>
      </c>
      <c r="E34" s="5">
        <v>80000</v>
      </c>
      <c r="F34" s="5">
        <v>12000000</v>
      </c>
      <c r="G34" s="3">
        <v>150</v>
      </c>
      <c r="H34" s="5">
        <v>80000</v>
      </c>
      <c r="I34" s="5">
        <v>12000000</v>
      </c>
      <c r="J34" s="5">
        <v>0</v>
      </c>
    </row>
    <row r="35" spans="1:10">
      <c r="A35" s="3" t="s">
        <v>137</v>
      </c>
      <c r="B35" s="4" t="s">
        <v>139</v>
      </c>
      <c r="C35" s="3" t="s">
        <v>140</v>
      </c>
      <c r="D35" s="3">
        <v>51</v>
      </c>
      <c r="E35" s="5">
        <v>40000</v>
      </c>
      <c r="F35" s="5">
        <v>2000000</v>
      </c>
      <c r="G35" s="3">
        <v>50</v>
      </c>
      <c r="H35" s="5">
        <v>40000</v>
      </c>
      <c r="I35" s="5">
        <v>2000000</v>
      </c>
      <c r="J35" s="5">
        <v>0</v>
      </c>
    </row>
    <row r="36" spans="1:10">
      <c r="A36" s="3" t="s">
        <v>142</v>
      </c>
      <c r="B36" s="4" t="s">
        <v>144</v>
      </c>
      <c r="C36" s="3" t="s">
        <v>276</v>
      </c>
      <c r="D36" s="3">
        <v>2</v>
      </c>
      <c r="E36" s="5">
        <v>3000000</v>
      </c>
      <c r="F36" s="5">
        <v>3000000</v>
      </c>
      <c r="G36" s="3">
        <v>1</v>
      </c>
      <c r="H36" s="5">
        <v>3000000</v>
      </c>
      <c r="I36" s="5">
        <v>3000000</v>
      </c>
      <c r="J36" s="5">
        <v>0</v>
      </c>
    </row>
    <row r="37" spans="1:10">
      <c r="A37" s="3" t="s">
        <v>145</v>
      </c>
      <c r="B37" s="4" t="s">
        <v>147</v>
      </c>
      <c r="C37" s="3" t="s">
        <v>128</v>
      </c>
      <c r="D37" s="3">
        <v>151</v>
      </c>
      <c r="E37" s="5">
        <v>50000</v>
      </c>
      <c r="F37" s="5">
        <v>7500000</v>
      </c>
      <c r="G37" s="3">
        <v>150</v>
      </c>
      <c r="H37" s="5">
        <v>50000</v>
      </c>
      <c r="I37" s="5">
        <v>7500000</v>
      </c>
      <c r="J37" s="5">
        <v>0</v>
      </c>
    </row>
    <row r="38" spans="1:10">
      <c r="A38" s="3" t="s">
        <v>150</v>
      </c>
      <c r="B38" s="4" t="s">
        <v>152</v>
      </c>
      <c r="C38" s="3" t="s">
        <v>153</v>
      </c>
      <c r="D38" s="3">
        <v>6</v>
      </c>
      <c r="E38" s="5">
        <v>600000</v>
      </c>
      <c r="F38" s="5">
        <v>3000000</v>
      </c>
      <c r="G38" s="3">
        <v>5</v>
      </c>
      <c r="H38" s="5">
        <v>600000</v>
      </c>
      <c r="I38" s="5">
        <v>3000000</v>
      </c>
      <c r="J38" s="5">
        <v>0</v>
      </c>
    </row>
    <row r="39" spans="1:10">
      <c r="A39" s="3" t="s">
        <v>155</v>
      </c>
      <c r="B39" s="4" t="s">
        <v>157</v>
      </c>
      <c r="C39" s="3" t="s">
        <v>276</v>
      </c>
      <c r="D39" s="3">
        <v>2</v>
      </c>
      <c r="E39" s="5">
        <v>4000000</v>
      </c>
      <c r="F39" s="5">
        <v>4000000</v>
      </c>
      <c r="G39" s="3">
        <v>1</v>
      </c>
      <c r="H39" s="5">
        <v>4000000</v>
      </c>
      <c r="I39" s="5">
        <v>4000000</v>
      </c>
      <c r="J39" s="5">
        <v>0</v>
      </c>
    </row>
    <row r="40" spans="1:10">
      <c r="A40" s="3" t="s">
        <v>158</v>
      </c>
      <c r="B40" s="4" t="s">
        <v>160</v>
      </c>
      <c r="C40" s="3" t="s">
        <v>128</v>
      </c>
      <c r="D40" s="3">
        <v>151</v>
      </c>
      <c r="E40" s="5">
        <v>120000</v>
      </c>
      <c r="F40" s="5">
        <v>18000000</v>
      </c>
      <c r="G40" s="3">
        <v>150</v>
      </c>
      <c r="H40" s="5">
        <v>120000</v>
      </c>
      <c r="I40" s="5">
        <v>18000000</v>
      </c>
      <c r="J40" s="5">
        <v>0</v>
      </c>
    </row>
    <row r="41" spans="1:10">
      <c r="A41" s="3" t="s">
        <v>163</v>
      </c>
      <c r="B41" s="4" t="s">
        <v>168</v>
      </c>
      <c r="C41" s="3" t="s">
        <v>169</v>
      </c>
      <c r="D41" s="3">
        <v>283020</v>
      </c>
      <c r="E41" s="5">
        <v>132.4999381666955</v>
      </c>
      <c r="F41" s="5">
        <v>37499999.999999993</v>
      </c>
      <c r="G41" s="3">
        <v>283019</v>
      </c>
      <c r="H41" s="5">
        <v>132.4999381666955</v>
      </c>
      <c r="I41" s="5">
        <v>37499999.999999993</v>
      </c>
      <c r="J41" s="5">
        <v>0</v>
      </c>
    </row>
    <row r="42" spans="1:10">
      <c r="A42" s="3" t="s">
        <v>163</v>
      </c>
      <c r="B42" s="4" t="s">
        <v>165</v>
      </c>
      <c r="C42" s="3" t="s">
        <v>128</v>
      </c>
      <c r="D42" s="3">
        <v>151</v>
      </c>
      <c r="E42" s="5">
        <v>25000</v>
      </c>
      <c r="F42" s="5">
        <v>3750000</v>
      </c>
      <c r="G42" s="3">
        <v>150</v>
      </c>
      <c r="H42" s="5">
        <v>25000</v>
      </c>
      <c r="I42" s="5">
        <v>3750000</v>
      </c>
      <c r="J42" s="5">
        <v>0</v>
      </c>
    </row>
    <row r="43" spans="1:10">
      <c r="A43" s="3" t="s">
        <v>171</v>
      </c>
      <c r="B43" s="4" t="s">
        <v>173</v>
      </c>
      <c r="C43" s="3" t="s">
        <v>128</v>
      </c>
      <c r="D43" s="3">
        <v>151</v>
      </c>
      <c r="E43" s="5">
        <v>18000</v>
      </c>
      <c r="F43" s="5">
        <v>2700000</v>
      </c>
      <c r="G43" s="3">
        <v>150</v>
      </c>
      <c r="H43" s="5">
        <v>18000</v>
      </c>
      <c r="I43" s="5">
        <v>2700000</v>
      </c>
      <c r="J43" s="5">
        <v>0</v>
      </c>
    </row>
    <row r="44" spans="1:10">
      <c r="A44" s="3" t="s">
        <v>174</v>
      </c>
      <c r="B44" s="4" t="s">
        <v>176</v>
      </c>
      <c r="C44" s="3" t="s">
        <v>128</v>
      </c>
      <c r="D44" s="3">
        <v>151</v>
      </c>
      <c r="E44" s="5">
        <v>70000</v>
      </c>
      <c r="F44" s="5">
        <v>10500000</v>
      </c>
      <c r="G44" s="3">
        <v>150</v>
      </c>
      <c r="H44" s="5">
        <v>70000</v>
      </c>
      <c r="I44" s="5">
        <v>10500000</v>
      </c>
      <c r="J44" s="5">
        <v>0</v>
      </c>
    </row>
    <row r="45" spans="1:10">
      <c r="A45" s="3" t="s">
        <v>177</v>
      </c>
      <c r="B45" s="4" t="s">
        <v>179</v>
      </c>
      <c r="C45" s="3" t="s">
        <v>140</v>
      </c>
      <c r="D45" s="3">
        <v>51</v>
      </c>
      <c r="E45" s="5">
        <v>180000</v>
      </c>
      <c r="F45" s="5">
        <v>9000000</v>
      </c>
      <c r="G45" s="3">
        <v>50</v>
      </c>
      <c r="H45" s="5">
        <v>180000</v>
      </c>
      <c r="I45" s="5">
        <v>9000000</v>
      </c>
      <c r="J45" s="5">
        <v>0</v>
      </c>
    </row>
    <row r="46" spans="1:10">
      <c r="A46" s="3" t="s">
        <v>177</v>
      </c>
      <c r="B46" s="4" t="s">
        <v>181</v>
      </c>
      <c r="C46" s="3" t="s">
        <v>140</v>
      </c>
      <c r="D46" s="3">
        <v>51</v>
      </c>
      <c r="E46" s="5">
        <v>30000</v>
      </c>
      <c r="F46" s="5">
        <v>1500000</v>
      </c>
      <c r="G46" s="3">
        <v>50</v>
      </c>
      <c r="H46" s="5">
        <v>30000</v>
      </c>
      <c r="I46" s="5">
        <v>1500000</v>
      </c>
      <c r="J46" s="5">
        <v>0</v>
      </c>
    </row>
    <row r="47" spans="1:10">
      <c r="A47" s="3" t="s">
        <v>182</v>
      </c>
      <c r="B47" s="4" t="s">
        <v>185</v>
      </c>
      <c r="C47" s="3" t="s">
        <v>128</v>
      </c>
      <c r="D47" s="3">
        <v>151</v>
      </c>
      <c r="E47" s="5">
        <v>65000</v>
      </c>
      <c r="F47" s="5">
        <v>9750000</v>
      </c>
      <c r="G47" s="3">
        <v>150</v>
      </c>
      <c r="H47" s="5">
        <v>65000</v>
      </c>
      <c r="I47" s="5">
        <v>9750000</v>
      </c>
      <c r="J47" s="5">
        <v>0</v>
      </c>
    </row>
    <row r="48" spans="1:10" ht="28.9">
      <c r="A48" s="3" t="s">
        <v>186</v>
      </c>
      <c r="B48" s="4" t="s">
        <v>188</v>
      </c>
      <c r="C48" s="3" t="s">
        <v>276</v>
      </c>
      <c r="D48" s="3">
        <v>2</v>
      </c>
      <c r="E48" s="5">
        <v>12000000</v>
      </c>
      <c r="F48" s="5">
        <v>12000000</v>
      </c>
      <c r="G48" s="3">
        <v>1</v>
      </c>
      <c r="H48" s="5">
        <v>12000000</v>
      </c>
      <c r="I48" s="5">
        <v>12000000</v>
      </c>
      <c r="J48" s="5">
        <v>0</v>
      </c>
    </row>
    <row r="49" spans="1:10">
      <c r="A49" s="3" t="s">
        <v>189</v>
      </c>
      <c r="B49" s="4" t="s">
        <v>191</v>
      </c>
      <c r="C49" s="3" t="s">
        <v>140</v>
      </c>
      <c r="D49" s="3">
        <v>2</v>
      </c>
      <c r="E49" s="5">
        <v>8000000</v>
      </c>
      <c r="F49" s="5">
        <v>8000000</v>
      </c>
      <c r="G49" s="3">
        <v>1</v>
      </c>
      <c r="H49" s="5">
        <v>8000000</v>
      </c>
      <c r="I49" s="5">
        <v>8000000</v>
      </c>
      <c r="J49" s="5">
        <v>0</v>
      </c>
    </row>
    <row r="50" spans="1:10">
      <c r="A50" s="3" t="s">
        <v>192</v>
      </c>
      <c r="B50" s="4" t="s">
        <v>195</v>
      </c>
      <c r="C50" s="3" t="s">
        <v>276</v>
      </c>
      <c r="D50" s="3">
        <v>2</v>
      </c>
      <c r="E50" s="5">
        <v>6000000</v>
      </c>
      <c r="F50" s="5">
        <v>6000000</v>
      </c>
      <c r="G50" s="3">
        <v>1</v>
      </c>
      <c r="H50" s="5">
        <v>6000000</v>
      </c>
      <c r="I50" s="5">
        <v>6000000</v>
      </c>
      <c r="J50" s="5">
        <v>0</v>
      </c>
    </row>
    <row r="51" spans="1:10">
      <c r="A51" s="3" t="s">
        <v>196</v>
      </c>
      <c r="B51" s="4" t="s">
        <v>198</v>
      </c>
      <c r="C51" s="3" t="s">
        <v>276</v>
      </c>
      <c r="D51" s="3">
        <v>2</v>
      </c>
      <c r="E51" s="5">
        <v>4000000</v>
      </c>
      <c r="F51" s="5">
        <v>4000000</v>
      </c>
      <c r="G51" s="3">
        <v>1</v>
      </c>
      <c r="H51" s="5">
        <v>4000000</v>
      </c>
      <c r="I51" s="5">
        <v>4000000</v>
      </c>
      <c r="J51" s="5">
        <v>0</v>
      </c>
    </row>
    <row r="52" spans="1:10">
      <c r="A52" s="3" t="s">
        <v>199</v>
      </c>
      <c r="B52" s="4" t="s">
        <v>201</v>
      </c>
      <c r="C52" s="3" t="s">
        <v>276</v>
      </c>
      <c r="D52" s="3">
        <v>2</v>
      </c>
      <c r="E52" s="5">
        <v>10000000</v>
      </c>
      <c r="F52" s="5">
        <v>10000000</v>
      </c>
      <c r="G52" s="3">
        <v>1</v>
      </c>
      <c r="H52" s="5">
        <v>10000000</v>
      </c>
      <c r="I52" s="5">
        <v>10000000</v>
      </c>
      <c r="J52" s="5">
        <v>0</v>
      </c>
    </row>
    <row r="53" spans="1:10">
      <c r="A53" s="3" t="s">
        <v>182</v>
      </c>
      <c r="B53" s="4" t="s">
        <v>184</v>
      </c>
      <c r="C53" s="3" t="s">
        <v>128</v>
      </c>
      <c r="D53" s="3">
        <v>151</v>
      </c>
      <c r="E53" s="5">
        <v>60000</v>
      </c>
      <c r="F53" s="5">
        <v>9000000</v>
      </c>
      <c r="G53" s="3">
        <v>150</v>
      </c>
      <c r="H53" s="5">
        <v>60000</v>
      </c>
      <c r="I53" s="5">
        <v>9000000</v>
      </c>
      <c r="J53" s="5">
        <v>0</v>
      </c>
    </row>
    <row r="54" spans="1:10">
      <c r="A54" s="3" t="s">
        <v>192</v>
      </c>
      <c r="B54" s="4" t="s">
        <v>194</v>
      </c>
      <c r="C54" s="3" t="s">
        <v>276</v>
      </c>
      <c r="D54" s="3">
        <v>2</v>
      </c>
      <c r="E54" s="5">
        <v>5000000</v>
      </c>
      <c r="F54" s="5">
        <v>5000000</v>
      </c>
      <c r="G54" s="3">
        <v>1</v>
      </c>
      <c r="H54" s="5">
        <v>5000000</v>
      </c>
      <c r="I54" s="5">
        <v>5000000</v>
      </c>
      <c r="J54" s="5">
        <v>0</v>
      </c>
    </row>
    <row r="55" spans="1:10">
      <c r="A55" s="3" t="s">
        <v>202</v>
      </c>
      <c r="B55" s="4" t="s">
        <v>204</v>
      </c>
      <c r="C55" s="3" t="s">
        <v>205</v>
      </c>
      <c r="D55" s="3">
        <v>600001</v>
      </c>
      <c r="E55" s="5">
        <v>200</v>
      </c>
      <c r="F55" s="5">
        <v>120000000</v>
      </c>
      <c r="G55" s="3">
        <v>600000</v>
      </c>
      <c r="H55" s="5">
        <v>200</v>
      </c>
      <c r="I55" s="5">
        <v>120000000</v>
      </c>
      <c r="J55" s="5">
        <v>0</v>
      </c>
    </row>
    <row r="56" spans="1:10">
      <c r="A56" s="3" t="s">
        <v>212</v>
      </c>
      <c r="B56" s="4" t="s">
        <v>214</v>
      </c>
      <c r="C56" s="3" t="s">
        <v>215</v>
      </c>
      <c r="D56" s="3">
        <v>150001</v>
      </c>
      <c r="E56" s="5">
        <v>200</v>
      </c>
      <c r="F56" s="5">
        <v>30000000</v>
      </c>
      <c r="G56" s="3">
        <v>150000</v>
      </c>
      <c r="H56" s="5">
        <v>200</v>
      </c>
      <c r="I56" s="5">
        <v>30000000</v>
      </c>
      <c r="J56" s="5">
        <v>0</v>
      </c>
    </row>
    <row r="57" spans="1:10">
      <c r="A57" s="3" t="s">
        <v>209</v>
      </c>
      <c r="B57" s="4" t="s">
        <v>211</v>
      </c>
      <c r="C57" s="3" t="s">
        <v>276</v>
      </c>
      <c r="D57" s="3">
        <v>2</v>
      </c>
      <c r="E57" s="5">
        <v>12000000</v>
      </c>
      <c r="F57" s="5">
        <v>12000000</v>
      </c>
      <c r="G57" s="3">
        <v>1</v>
      </c>
      <c r="H57" s="5">
        <v>12000000</v>
      </c>
      <c r="I57" s="5">
        <v>12000000</v>
      </c>
      <c r="J57" s="5">
        <v>0</v>
      </c>
    </row>
    <row r="58" spans="1:10">
      <c r="A58" s="3" t="s">
        <v>216</v>
      </c>
      <c r="B58" s="4" t="s">
        <v>218</v>
      </c>
      <c r="C58" s="3" t="s">
        <v>276</v>
      </c>
      <c r="D58" s="3">
        <v>2</v>
      </c>
      <c r="E58" s="5">
        <v>8000000</v>
      </c>
      <c r="F58" s="5">
        <v>8000000</v>
      </c>
      <c r="G58" s="3">
        <v>1</v>
      </c>
      <c r="H58" s="5">
        <v>8000000</v>
      </c>
      <c r="I58" s="5">
        <v>8000000</v>
      </c>
      <c r="J58" s="5">
        <v>0</v>
      </c>
    </row>
    <row r="59" spans="1:10" ht="28.9">
      <c r="A59" s="3" t="s">
        <v>219</v>
      </c>
      <c r="B59" s="4" t="s">
        <v>221</v>
      </c>
      <c r="C59" s="3" t="s">
        <v>276</v>
      </c>
      <c r="D59" s="3">
        <v>2</v>
      </c>
      <c r="E59" s="5">
        <v>10000000</v>
      </c>
      <c r="F59" s="5">
        <v>10000000</v>
      </c>
      <c r="G59" s="3">
        <v>1</v>
      </c>
      <c r="H59" s="5">
        <v>10000000</v>
      </c>
      <c r="I59" s="5">
        <v>10000000</v>
      </c>
      <c r="J59" s="5">
        <v>0</v>
      </c>
    </row>
    <row r="60" spans="1:10">
      <c r="A60" s="3" t="s">
        <v>202</v>
      </c>
      <c r="B60" s="4" t="s">
        <v>207</v>
      </c>
      <c r="C60" s="3" t="s">
        <v>205</v>
      </c>
      <c r="D60" s="3">
        <v>600001</v>
      </c>
      <c r="E60" s="5">
        <v>33.33</v>
      </c>
      <c r="F60" s="5">
        <v>19998000</v>
      </c>
      <c r="G60" s="3">
        <v>600000</v>
      </c>
      <c r="H60" s="5">
        <v>33.33</v>
      </c>
      <c r="I60" s="5">
        <v>19998000</v>
      </c>
      <c r="J60" s="5">
        <v>0</v>
      </c>
    </row>
    <row r="61" spans="1:10">
      <c r="A61" s="3" t="s">
        <v>222</v>
      </c>
      <c r="B61" s="4" t="s">
        <v>224</v>
      </c>
      <c r="C61" s="3" t="s">
        <v>276</v>
      </c>
      <c r="D61" s="3">
        <v>2</v>
      </c>
      <c r="E61" s="5">
        <v>5500000</v>
      </c>
      <c r="F61" s="5">
        <v>5500000</v>
      </c>
      <c r="G61" s="3">
        <v>1</v>
      </c>
      <c r="H61" s="5">
        <v>5500000</v>
      </c>
      <c r="I61" s="5">
        <v>5500000</v>
      </c>
      <c r="J61" s="5">
        <v>0</v>
      </c>
    </row>
    <row r="62" spans="1:10">
      <c r="A62" s="3" t="s">
        <v>225</v>
      </c>
      <c r="B62" s="4" t="s">
        <v>227</v>
      </c>
      <c r="C62" s="3" t="s">
        <v>276</v>
      </c>
      <c r="D62" s="3">
        <v>2</v>
      </c>
      <c r="E62" s="5">
        <v>3000000</v>
      </c>
      <c r="F62" s="5">
        <v>3000000</v>
      </c>
      <c r="G62" s="3">
        <v>1</v>
      </c>
      <c r="H62" s="5">
        <v>3000000</v>
      </c>
      <c r="I62" s="5">
        <v>3000000</v>
      </c>
      <c r="J62" s="5">
        <v>0</v>
      </c>
    </row>
    <row r="63" spans="1:10">
      <c r="A63" s="3" t="s">
        <v>228</v>
      </c>
      <c r="B63" s="4" t="s">
        <v>230</v>
      </c>
      <c r="C63" s="3" t="s">
        <v>276</v>
      </c>
      <c r="D63" s="3">
        <v>2</v>
      </c>
      <c r="E63" s="5">
        <v>1500000</v>
      </c>
      <c r="F63" s="5">
        <v>1500000</v>
      </c>
      <c r="G63" s="3">
        <v>1</v>
      </c>
      <c r="H63" s="5">
        <v>1500000</v>
      </c>
      <c r="I63" s="5">
        <v>1500000</v>
      </c>
      <c r="J63" s="5">
        <v>0</v>
      </c>
    </row>
    <row r="64" spans="1:10">
      <c r="A64" s="3" t="s">
        <v>231</v>
      </c>
      <c r="B64" s="4" t="s">
        <v>233</v>
      </c>
      <c r="C64" s="3" t="s">
        <v>276</v>
      </c>
      <c r="D64" s="3">
        <v>2</v>
      </c>
      <c r="E64" s="5">
        <v>750000</v>
      </c>
      <c r="F64" s="5">
        <v>750000</v>
      </c>
      <c r="G64" s="3">
        <v>1</v>
      </c>
      <c r="H64" s="5">
        <v>750000</v>
      </c>
      <c r="I64" s="5">
        <v>750000</v>
      </c>
      <c r="J64" s="5">
        <v>0</v>
      </c>
    </row>
    <row r="65" spans="1:10">
      <c r="A65" s="3" t="s">
        <v>234</v>
      </c>
      <c r="B65" s="4" t="s">
        <v>236</v>
      </c>
      <c r="C65" s="3" t="s">
        <v>276</v>
      </c>
      <c r="D65" s="3">
        <v>2</v>
      </c>
      <c r="E65" s="5">
        <v>750000</v>
      </c>
      <c r="F65" s="5">
        <v>750000</v>
      </c>
      <c r="G65" s="3">
        <v>1</v>
      </c>
      <c r="H65" s="5">
        <v>750000</v>
      </c>
      <c r="I65" s="5">
        <v>750000</v>
      </c>
      <c r="J65" s="5">
        <v>0</v>
      </c>
    </row>
    <row r="66" spans="1:10">
      <c r="A66" s="3" t="s">
        <v>237</v>
      </c>
      <c r="B66" s="4" t="s">
        <v>239</v>
      </c>
      <c r="C66" s="3" t="s">
        <v>276</v>
      </c>
      <c r="D66" s="3">
        <v>2</v>
      </c>
      <c r="E66" s="5">
        <v>800000</v>
      </c>
      <c r="F66" s="5">
        <v>800000</v>
      </c>
      <c r="G66" s="3">
        <v>1</v>
      </c>
      <c r="H66" s="5">
        <v>800000</v>
      </c>
      <c r="I66" s="5">
        <v>800000</v>
      </c>
      <c r="J66" s="5">
        <v>0</v>
      </c>
    </row>
    <row r="67" spans="1:10">
      <c r="A67" s="3" t="s">
        <v>240</v>
      </c>
      <c r="B67" s="4" t="s">
        <v>242</v>
      </c>
      <c r="C67" s="3" t="s">
        <v>276</v>
      </c>
      <c r="D67" s="3">
        <v>2</v>
      </c>
      <c r="E67" s="5">
        <v>900000</v>
      </c>
      <c r="F67" s="5">
        <v>900000</v>
      </c>
      <c r="G67" s="3">
        <v>1</v>
      </c>
      <c r="H67" s="5">
        <v>900000</v>
      </c>
      <c r="I67" s="5">
        <v>900000</v>
      </c>
      <c r="J67" s="5">
        <v>0</v>
      </c>
    </row>
    <row r="68" spans="1:10">
      <c r="A68" s="3" t="s">
        <v>243</v>
      </c>
      <c r="B68" s="4" t="s">
        <v>245</v>
      </c>
      <c r="C68" s="3" t="s">
        <v>276</v>
      </c>
      <c r="D68" s="3">
        <v>2</v>
      </c>
      <c r="E68" s="5">
        <v>2000000</v>
      </c>
      <c r="F68" s="5">
        <v>2000000</v>
      </c>
      <c r="G68" s="3">
        <v>1</v>
      </c>
      <c r="H68" s="5">
        <v>2000000</v>
      </c>
      <c r="I68" s="5">
        <v>2000000</v>
      </c>
      <c r="J68" s="5">
        <v>0</v>
      </c>
    </row>
    <row r="69" spans="1:10">
      <c r="A69" s="3" t="s">
        <v>246</v>
      </c>
      <c r="B69" s="4" t="s">
        <v>248</v>
      </c>
      <c r="C69" s="3" t="s">
        <v>276</v>
      </c>
      <c r="D69" s="3">
        <v>2</v>
      </c>
      <c r="E69" s="5">
        <v>600000</v>
      </c>
      <c r="F69" s="5">
        <v>600000</v>
      </c>
      <c r="G69" s="3">
        <v>1</v>
      </c>
      <c r="H69" s="5">
        <v>600000</v>
      </c>
      <c r="I69" s="5">
        <v>600000</v>
      </c>
      <c r="J69" s="5">
        <v>0</v>
      </c>
    </row>
    <row r="70" spans="1:10">
      <c r="A70" s="3" t="s">
        <v>249</v>
      </c>
      <c r="B70" s="4" t="s">
        <v>251</v>
      </c>
      <c r="C70" s="3" t="s">
        <v>276</v>
      </c>
      <c r="D70" s="3">
        <v>2</v>
      </c>
      <c r="E70" s="5">
        <v>1200000</v>
      </c>
      <c r="F70" s="5">
        <v>1200000</v>
      </c>
      <c r="G70" s="3">
        <v>1</v>
      </c>
      <c r="H70" s="5">
        <v>1200000</v>
      </c>
      <c r="I70" s="5">
        <v>1200000</v>
      </c>
      <c r="J70" s="5">
        <v>0</v>
      </c>
    </row>
    <row r="71" spans="1:10" ht="28.9">
      <c r="A71" s="3" t="s">
        <v>249</v>
      </c>
      <c r="B71" s="4" t="s">
        <v>252</v>
      </c>
      <c r="C71" s="3" t="s">
        <v>276</v>
      </c>
      <c r="D71" s="3">
        <v>2</v>
      </c>
      <c r="E71" s="5">
        <v>15000000</v>
      </c>
      <c r="F71" s="5">
        <v>15000000</v>
      </c>
      <c r="G71" s="3">
        <v>1</v>
      </c>
      <c r="H71" s="5">
        <v>15000000</v>
      </c>
      <c r="I71" s="5">
        <v>15000000</v>
      </c>
      <c r="J71" s="5">
        <v>0</v>
      </c>
    </row>
    <row r="72" spans="1:10">
      <c r="A72" s="3" t="s">
        <v>254</v>
      </c>
      <c r="B72" s="4" t="s">
        <v>256</v>
      </c>
      <c r="C72" s="3" t="s">
        <v>276</v>
      </c>
      <c r="D72" s="3">
        <v>2</v>
      </c>
      <c r="E72" s="5">
        <v>600000</v>
      </c>
      <c r="F72" s="5">
        <v>600000</v>
      </c>
      <c r="G72" s="3">
        <v>1</v>
      </c>
      <c r="H72" s="5">
        <v>600000</v>
      </c>
      <c r="I72" s="5">
        <v>600000</v>
      </c>
      <c r="J72" s="5">
        <v>0</v>
      </c>
    </row>
    <row r="73" spans="1:10">
      <c r="A73" s="3" t="s">
        <v>257</v>
      </c>
      <c r="B73" s="4" t="s">
        <v>259</v>
      </c>
      <c r="C73" s="3" t="s">
        <v>276</v>
      </c>
      <c r="D73" s="3">
        <v>2</v>
      </c>
      <c r="E73" s="5">
        <v>2000000</v>
      </c>
      <c r="F73" s="5">
        <v>2000000</v>
      </c>
      <c r="G73" s="3">
        <v>1</v>
      </c>
      <c r="H73" s="5">
        <v>2000000</v>
      </c>
      <c r="I73" s="5">
        <v>2000000</v>
      </c>
      <c r="J73" s="5">
        <v>0</v>
      </c>
    </row>
    <row r="74" spans="1:10">
      <c r="A74" s="3" t="s">
        <v>260</v>
      </c>
      <c r="B74" s="4" t="s">
        <v>262</v>
      </c>
      <c r="C74" s="3" t="s">
        <v>276</v>
      </c>
      <c r="D74" s="3">
        <v>2</v>
      </c>
      <c r="E74" s="5">
        <v>300000</v>
      </c>
      <c r="F74" s="5">
        <v>300000</v>
      </c>
      <c r="G74" s="3">
        <v>1</v>
      </c>
      <c r="H74" s="5">
        <v>300000</v>
      </c>
      <c r="I74" s="5">
        <v>300000</v>
      </c>
      <c r="J74" s="5">
        <v>0</v>
      </c>
    </row>
    <row r="75" spans="1:10">
      <c r="A75" s="3" t="s">
        <v>263</v>
      </c>
      <c r="B75" s="4" t="s">
        <v>265</v>
      </c>
      <c r="C75" s="3" t="s">
        <v>276</v>
      </c>
      <c r="D75" s="3">
        <v>2</v>
      </c>
      <c r="E75" s="5">
        <v>1000000</v>
      </c>
      <c r="F75" s="5">
        <v>1000000</v>
      </c>
      <c r="G75" s="3">
        <v>1</v>
      </c>
      <c r="H75" s="5">
        <v>1000000</v>
      </c>
      <c r="I75" s="5">
        <v>1000000</v>
      </c>
      <c r="J75" s="5">
        <v>0</v>
      </c>
    </row>
    <row r="76" spans="1:10">
      <c r="A76" s="3" t="s">
        <v>263</v>
      </c>
      <c r="B76" s="4" t="s">
        <v>266</v>
      </c>
      <c r="C76" s="3" t="s">
        <v>276</v>
      </c>
      <c r="D76" s="3">
        <v>2</v>
      </c>
      <c r="E76" s="5">
        <v>2000000</v>
      </c>
      <c r="F76" s="5">
        <v>2000000</v>
      </c>
      <c r="G76" s="3">
        <v>1</v>
      </c>
      <c r="H76" s="5">
        <v>2000000</v>
      </c>
      <c r="I76" s="5">
        <v>2000000</v>
      </c>
      <c r="J76" s="5">
        <v>0</v>
      </c>
    </row>
    <row r="77" spans="1:10">
      <c r="A77" s="3" t="s">
        <v>33</v>
      </c>
      <c r="B77" s="4" t="s">
        <v>277</v>
      </c>
      <c r="C77" s="3" t="s">
        <v>276</v>
      </c>
      <c r="D77" s="3">
        <v>1</v>
      </c>
      <c r="E77" s="10">
        <v>26852000</v>
      </c>
      <c r="F77" s="10">
        <v>26852000</v>
      </c>
      <c r="G77" s="10">
        <v>1</v>
      </c>
      <c r="H77" s="10">
        <v>26852000</v>
      </c>
      <c r="I77" s="10">
        <v>26852000</v>
      </c>
      <c r="J77" s="5">
        <v>0</v>
      </c>
    </row>
    <row r="78" spans="1:10" ht="28.9">
      <c r="A78" s="3" t="s">
        <v>33</v>
      </c>
      <c r="B78" s="4" t="s">
        <v>278</v>
      </c>
      <c r="C78" s="3" t="s">
        <v>276</v>
      </c>
      <c r="D78" s="3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5">
        <v>0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2"/>
  <sheetViews>
    <sheetView showGridLines="0" tabSelected="1" workbookViewId="0">
      <selection sqref="A1:F1"/>
    </sheetView>
  </sheetViews>
  <sheetFormatPr defaultRowHeight="14.45"/>
  <cols>
    <col min="1" max="1" width="8" customWidth="1"/>
    <col min="2" max="2" width="28" customWidth="1"/>
    <col min="3" max="3" width="10" customWidth="1"/>
    <col min="4" max="4" width="42" customWidth="1"/>
    <col min="5" max="7" width="12" customWidth="1"/>
    <col min="8" max="8" width="14" customWidth="1"/>
  </cols>
  <sheetData>
    <row r="1" spans="1:8" ht="18">
      <c r="A1" s="26" t="s">
        <v>279</v>
      </c>
      <c r="B1" s="27"/>
      <c r="C1" s="27"/>
      <c r="D1" s="27"/>
      <c r="E1" s="27"/>
      <c r="F1" s="27"/>
    </row>
    <row r="3" spans="1:8" ht="31.9" customHeight="1">
      <c r="A3" s="1" t="s">
        <v>280</v>
      </c>
      <c r="B3" s="1" t="s">
        <v>281</v>
      </c>
      <c r="C3" s="1" t="s">
        <v>2</v>
      </c>
      <c r="D3" s="1" t="s">
        <v>282</v>
      </c>
      <c r="E3" s="1" t="s">
        <v>283</v>
      </c>
      <c r="F3" s="1" t="s">
        <v>284</v>
      </c>
      <c r="G3" s="1" t="s">
        <v>285</v>
      </c>
      <c r="H3" s="1" t="s">
        <v>286</v>
      </c>
    </row>
    <row r="4" spans="1:8">
      <c r="A4" s="2">
        <v>1</v>
      </c>
      <c r="B4" s="3" t="s">
        <v>287</v>
      </c>
      <c r="C4" s="3" t="s">
        <v>288</v>
      </c>
      <c r="D4" s="4" t="s">
        <v>289</v>
      </c>
      <c r="E4" s="6">
        <v>46328</v>
      </c>
      <c r="F4" s="6">
        <v>46339</v>
      </c>
      <c r="G4" s="2">
        <v>11</v>
      </c>
      <c r="H4" s="5">
        <v>0</v>
      </c>
    </row>
    <row r="5" spans="1:8">
      <c r="A5" s="2">
        <v>1</v>
      </c>
      <c r="B5" s="3" t="s">
        <v>287</v>
      </c>
      <c r="C5" s="3" t="s">
        <v>15</v>
      </c>
      <c r="D5" s="4" t="s">
        <v>290</v>
      </c>
      <c r="E5" s="6">
        <v>46342</v>
      </c>
      <c r="F5" s="6">
        <v>46360</v>
      </c>
      <c r="G5" s="2">
        <v>18</v>
      </c>
      <c r="H5" s="5">
        <v>250000</v>
      </c>
    </row>
    <row r="6" spans="1:8">
      <c r="A6" s="2">
        <v>1</v>
      </c>
      <c r="B6" s="3" t="s">
        <v>287</v>
      </c>
      <c r="C6" s="3" t="s">
        <v>23</v>
      </c>
      <c r="D6" s="3" t="s">
        <v>291</v>
      </c>
      <c r="E6" s="6">
        <v>46363</v>
      </c>
      <c r="F6" s="6">
        <v>46378</v>
      </c>
      <c r="G6" s="2">
        <v>15</v>
      </c>
      <c r="H6" s="5">
        <v>6000000</v>
      </c>
    </row>
    <row r="7" spans="1:8">
      <c r="A7" s="2">
        <v>1</v>
      </c>
      <c r="B7" s="3" t="s">
        <v>287</v>
      </c>
      <c r="C7" s="3" t="s">
        <v>33</v>
      </c>
      <c r="D7" s="3" t="s">
        <v>292</v>
      </c>
      <c r="E7" s="9">
        <v>46328</v>
      </c>
      <c r="F7" s="9">
        <v>47847</v>
      </c>
      <c r="G7" s="2">
        <v>1519</v>
      </c>
      <c r="H7" s="10">
        <v>26852000</v>
      </c>
    </row>
    <row r="8" spans="1:8">
      <c r="A8" s="2">
        <v>2</v>
      </c>
      <c r="B8" s="4" t="s">
        <v>293</v>
      </c>
      <c r="C8" s="3" t="s">
        <v>294</v>
      </c>
      <c r="D8" s="4" t="s">
        <v>295</v>
      </c>
      <c r="E8" s="6">
        <v>46342</v>
      </c>
      <c r="F8" s="6">
        <v>46381</v>
      </c>
      <c r="G8" s="2">
        <v>39</v>
      </c>
      <c r="H8" s="5">
        <v>0</v>
      </c>
    </row>
    <row r="9" spans="1:8">
      <c r="A9" s="2">
        <v>2</v>
      </c>
      <c r="B9" s="4" t="s">
        <v>293</v>
      </c>
      <c r="C9" s="3" t="s">
        <v>39</v>
      </c>
      <c r="D9" s="4" t="s">
        <v>296</v>
      </c>
      <c r="E9" s="6">
        <v>46383</v>
      </c>
      <c r="F9" s="6">
        <v>46465</v>
      </c>
      <c r="G9" s="2">
        <v>82</v>
      </c>
      <c r="H9" s="5">
        <v>1800000</v>
      </c>
    </row>
    <row r="10" spans="1:8">
      <c r="A10" s="2">
        <v>2</v>
      </c>
      <c r="B10" s="4" t="s">
        <v>293</v>
      </c>
      <c r="C10" s="3" t="s">
        <v>297</v>
      </c>
      <c r="D10" s="4" t="s">
        <v>298</v>
      </c>
      <c r="E10" s="6">
        <v>46468</v>
      </c>
      <c r="F10" s="6">
        <v>46521</v>
      </c>
      <c r="G10" s="2">
        <v>53</v>
      </c>
      <c r="H10" s="5">
        <v>0</v>
      </c>
    </row>
    <row r="11" spans="1:8">
      <c r="A11" s="2">
        <v>2</v>
      </c>
      <c r="B11" s="4" t="s">
        <v>293</v>
      </c>
      <c r="C11" s="3" t="s">
        <v>46</v>
      </c>
      <c r="D11" s="4" t="s">
        <v>299</v>
      </c>
      <c r="E11" s="6">
        <v>46524</v>
      </c>
      <c r="F11" s="6">
        <v>46549</v>
      </c>
      <c r="G11" s="2">
        <v>25</v>
      </c>
      <c r="H11" s="5">
        <v>350000</v>
      </c>
    </row>
    <row r="12" spans="1:8">
      <c r="A12" s="2">
        <v>2</v>
      </c>
      <c r="B12" s="4" t="s">
        <v>293</v>
      </c>
      <c r="C12" s="3" t="s">
        <v>51</v>
      </c>
      <c r="D12" s="4" t="s">
        <v>300</v>
      </c>
      <c r="E12" s="6">
        <v>46383</v>
      </c>
      <c r="F12" s="6">
        <v>46437</v>
      </c>
      <c r="G12" s="2">
        <v>54</v>
      </c>
      <c r="H12" s="5">
        <v>600000</v>
      </c>
    </row>
    <row r="13" spans="1:8">
      <c r="A13" s="2">
        <v>2</v>
      </c>
      <c r="B13" s="4" t="s">
        <v>293</v>
      </c>
      <c r="C13" s="3" t="s">
        <v>54</v>
      </c>
      <c r="D13" s="4" t="s">
        <v>301</v>
      </c>
      <c r="E13" s="6">
        <v>46440</v>
      </c>
      <c r="F13" s="6">
        <v>46507</v>
      </c>
      <c r="G13" s="2">
        <v>67</v>
      </c>
      <c r="H13" s="5">
        <v>1200000</v>
      </c>
    </row>
    <row r="14" spans="1:8">
      <c r="A14" s="2">
        <v>2</v>
      </c>
      <c r="B14" s="4" t="s">
        <v>293</v>
      </c>
      <c r="C14" s="3" t="s">
        <v>57</v>
      </c>
      <c r="D14" s="4" t="s">
        <v>302</v>
      </c>
      <c r="E14" s="6">
        <v>46510</v>
      </c>
      <c r="F14" s="6">
        <v>46549</v>
      </c>
      <c r="G14" s="2">
        <v>39</v>
      </c>
      <c r="H14" s="5">
        <v>200000</v>
      </c>
    </row>
    <row r="15" spans="1:8">
      <c r="A15" s="2">
        <v>2</v>
      </c>
      <c r="B15" s="4" t="s">
        <v>293</v>
      </c>
      <c r="C15" s="3" t="s">
        <v>303</v>
      </c>
      <c r="D15" s="4" t="s">
        <v>304</v>
      </c>
      <c r="E15" s="6">
        <v>46552</v>
      </c>
      <c r="F15" s="6">
        <v>46577</v>
      </c>
      <c r="G15" s="2">
        <v>25</v>
      </c>
      <c r="H15" s="5">
        <v>0</v>
      </c>
    </row>
    <row r="16" spans="1:8">
      <c r="A16" s="2">
        <v>2</v>
      </c>
      <c r="B16" s="4" t="s">
        <v>293</v>
      </c>
      <c r="C16" s="3" t="s">
        <v>60</v>
      </c>
      <c r="D16" s="4" t="s">
        <v>305</v>
      </c>
      <c r="E16" s="6">
        <v>46580</v>
      </c>
      <c r="F16" s="6">
        <v>46584</v>
      </c>
      <c r="G16" s="2">
        <v>4</v>
      </c>
      <c r="H16" s="5">
        <v>250000</v>
      </c>
    </row>
    <row r="17" spans="1:8">
      <c r="A17" s="2">
        <v>2</v>
      </c>
      <c r="B17" s="4" t="s">
        <v>293</v>
      </c>
      <c r="C17" s="3" t="s">
        <v>306</v>
      </c>
      <c r="D17" s="4" t="s">
        <v>307</v>
      </c>
      <c r="E17" s="6">
        <v>46587</v>
      </c>
      <c r="F17" s="6">
        <v>46689</v>
      </c>
      <c r="G17" s="2">
        <v>102</v>
      </c>
      <c r="H17" s="5">
        <v>0</v>
      </c>
    </row>
    <row r="18" spans="1:8">
      <c r="A18" s="2">
        <v>2</v>
      </c>
      <c r="B18" s="4" t="s">
        <v>293</v>
      </c>
      <c r="C18" s="3" t="s">
        <v>63</v>
      </c>
      <c r="D18" s="4" t="s">
        <v>308</v>
      </c>
      <c r="E18" s="6">
        <v>46383</v>
      </c>
      <c r="F18" s="6">
        <v>46409</v>
      </c>
      <c r="G18" s="2">
        <v>26</v>
      </c>
      <c r="H18" s="5">
        <v>1500000</v>
      </c>
    </row>
    <row r="19" spans="1:8" ht="28.9">
      <c r="A19" s="2">
        <v>2</v>
      </c>
      <c r="B19" s="4" t="s">
        <v>293</v>
      </c>
      <c r="C19" s="3" t="s">
        <v>309</v>
      </c>
      <c r="D19" s="4" t="s">
        <v>310</v>
      </c>
      <c r="E19" s="6">
        <v>46412</v>
      </c>
      <c r="F19" s="6">
        <v>46577</v>
      </c>
      <c r="G19" s="2">
        <v>165</v>
      </c>
      <c r="H19" s="5">
        <v>0</v>
      </c>
    </row>
    <row r="20" spans="1:8">
      <c r="A20" s="2">
        <v>2</v>
      </c>
      <c r="B20" s="4" t="s">
        <v>293</v>
      </c>
      <c r="C20" s="3" t="s">
        <v>311</v>
      </c>
      <c r="D20" s="4" t="s">
        <v>312</v>
      </c>
      <c r="E20" s="6">
        <v>46580</v>
      </c>
      <c r="F20" s="6">
        <v>46661</v>
      </c>
      <c r="G20" s="2">
        <v>81</v>
      </c>
      <c r="H20" s="5">
        <v>0</v>
      </c>
    </row>
    <row r="21" spans="1:8">
      <c r="A21" s="2">
        <v>3</v>
      </c>
      <c r="B21" s="3" t="s">
        <v>313</v>
      </c>
      <c r="C21" s="3" t="s">
        <v>66</v>
      </c>
      <c r="D21" s="3" t="s">
        <v>314</v>
      </c>
      <c r="E21" s="6">
        <v>46384</v>
      </c>
      <c r="F21" s="6">
        <v>46437</v>
      </c>
      <c r="G21" s="2">
        <v>53</v>
      </c>
      <c r="H21" s="5">
        <v>500000</v>
      </c>
    </row>
    <row r="22" spans="1:8" ht="28.9">
      <c r="A22" s="2">
        <v>3</v>
      </c>
      <c r="B22" s="3" t="s">
        <v>313</v>
      </c>
      <c r="C22" s="3" t="s">
        <v>69</v>
      </c>
      <c r="D22" s="4" t="s">
        <v>315</v>
      </c>
      <c r="E22" s="6">
        <v>46510</v>
      </c>
      <c r="F22" s="6">
        <v>46577</v>
      </c>
      <c r="G22" s="2">
        <v>67</v>
      </c>
      <c r="H22" s="5">
        <v>650000</v>
      </c>
    </row>
    <row r="23" spans="1:8" ht="28.9">
      <c r="A23" s="2">
        <v>3</v>
      </c>
      <c r="B23" s="3" t="s">
        <v>313</v>
      </c>
      <c r="C23" s="3" t="s">
        <v>316</v>
      </c>
      <c r="D23" s="4" t="s">
        <v>317</v>
      </c>
      <c r="E23" s="6">
        <v>46587</v>
      </c>
      <c r="F23" s="6">
        <v>46689</v>
      </c>
      <c r="G23" s="2">
        <v>102</v>
      </c>
      <c r="H23" s="5">
        <v>0</v>
      </c>
    </row>
    <row r="24" spans="1:8">
      <c r="A24" s="2">
        <v>3</v>
      </c>
      <c r="B24" s="3" t="s">
        <v>313</v>
      </c>
      <c r="C24" s="3" t="s">
        <v>72</v>
      </c>
      <c r="D24" s="4" t="s">
        <v>318</v>
      </c>
      <c r="E24" s="6">
        <v>46692</v>
      </c>
      <c r="F24" s="6">
        <v>46801</v>
      </c>
      <c r="G24" s="2">
        <v>109</v>
      </c>
      <c r="H24" s="5">
        <v>2000000</v>
      </c>
    </row>
    <row r="25" spans="1:8">
      <c r="A25" s="2">
        <v>3</v>
      </c>
      <c r="B25" s="3" t="s">
        <v>313</v>
      </c>
      <c r="C25" s="3" t="s">
        <v>75</v>
      </c>
      <c r="D25" s="3" t="s">
        <v>319</v>
      </c>
      <c r="E25" s="6">
        <v>46440</v>
      </c>
      <c r="F25" s="6">
        <v>46521</v>
      </c>
      <c r="G25" s="2">
        <v>81</v>
      </c>
      <c r="H25" s="5">
        <v>750000</v>
      </c>
    </row>
    <row r="26" spans="1:8">
      <c r="A26" s="2">
        <v>3</v>
      </c>
      <c r="B26" s="3" t="s">
        <v>313</v>
      </c>
      <c r="C26" s="3" t="s">
        <v>79</v>
      </c>
      <c r="D26" s="4" t="s">
        <v>320</v>
      </c>
      <c r="E26" s="6">
        <v>46440</v>
      </c>
      <c r="F26" s="6">
        <v>46507</v>
      </c>
      <c r="G26" s="2">
        <v>67</v>
      </c>
      <c r="H26" s="5">
        <v>400000</v>
      </c>
    </row>
    <row r="27" spans="1:8">
      <c r="A27" s="2">
        <v>3</v>
      </c>
      <c r="B27" s="3" t="s">
        <v>313</v>
      </c>
      <c r="C27" s="3" t="s">
        <v>82</v>
      </c>
      <c r="D27" s="4" t="s">
        <v>321</v>
      </c>
      <c r="E27" s="6">
        <v>46804</v>
      </c>
      <c r="F27" s="6">
        <v>46843</v>
      </c>
      <c r="G27" s="2">
        <v>39</v>
      </c>
      <c r="H27" s="5">
        <v>1200000</v>
      </c>
    </row>
    <row r="28" spans="1:8">
      <c r="A28" s="2">
        <v>4</v>
      </c>
      <c r="B28" s="3" t="s">
        <v>322</v>
      </c>
      <c r="C28" s="3" t="s">
        <v>85</v>
      </c>
      <c r="D28" s="3" t="s">
        <v>323</v>
      </c>
      <c r="E28" s="6">
        <v>46439</v>
      </c>
      <c r="F28" s="6">
        <v>46479</v>
      </c>
      <c r="G28" s="2">
        <v>40</v>
      </c>
      <c r="H28" s="5">
        <v>250000</v>
      </c>
    </row>
    <row r="29" spans="1:8">
      <c r="A29" s="2">
        <v>4</v>
      </c>
      <c r="B29" s="3" t="s">
        <v>322</v>
      </c>
      <c r="C29" s="3" t="s">
        <v>88</v>
      </c>
      <c r="D29" s="3" t="s">
        <v>324</v>
      </c>
      <c r="E29" s="6">
        <v>46482</v>
      </c>
      <c r="F29" s="6">
        <v>46591</v>
      </c>
      <c r="G29" s="2">
        <v>109</v>
      </c>
      <c r="H29" s="5">
        <v>800000</v>
      </c>
    </row>
    <row r="30" spans="1:8">
      <c r="A30" s="2">
        <v>4</v>
      </c>
      <c r="B30" s="3" t="s">
        <v>322</v>
      </c>
      <c r="C30" s="3" t="s">
        <v>91</v>
      </c>
      <c r="D30" s="4" t="s">
        <v>325</v>
      </c>
      <c r="E30" s="6">
        <v>46594</v>
      </c>
      <c r="F30" s="6">
        <v>46731</v>
      </c>
      <c r="G30" s="2">
        <v>137</v>
      </c>
      <c r="H30" s="5">
        <v>900000</v>
      </c>
    </row>
    <row r="31" spans="1:8">
      <c r="A31" s="2">
        <v>4</v>
      </c>
      <c r="B31" s="3" t="s">
        <v>322</v>
      </c>
      <c r="C31" s="3" t="s">
        <v>94</v>
      </c>
      <c r="D31" s="3" t="s">
        <v>326</v>
      </c>
      <c r="E31" s="6">
        <v>46846</v>
      </c>
      <c r="F31" s="6">
        <v>46899</v>
      </c>
      <c r="G31" s="2">
        <v>53</v>
      </c>
      <c r="H31" s="5">
        <v>1200000</v>
      </c>
    </row>
    <row r="32" spans="1:8">
      <c r="A32" s="2">
        <v>5</v>
      </c>
      <c r="B32" s="4" t="s">
        <v>327</v>
      </c>
      <c r="C32" s="3" t="s">
        <v>97</v>
      </c>
      <c r="D32" s="4" t="s">
        <v>328</v>
      </c>
      <c r="E32" s="6">
        <v>46481</v>
      </c>
      <c r="F32" s="6">
        <v>46507</v>
      </c>
      <c r="G32" s="2">
        <v>26</v>
      </c>
      <c r="H32" s="5">
        <v>150000</v>
      </c>
    </row>
    <row r="33" spans="1:8">
      <c r="A33" s="2">
        <v>5</v>
      </c>
      <c r="B33" s="4" t="s">
        <v>327</v>
      </c>
      <c r="C33" s="3" t="s">
        <v>100</v>
      </c>
      <c r="D33" s="3" t="s">
        <v>329</v>
      </c>
      <c r="E33" s="6">
        <v>46846</v>
      </c>
      <c r="F33" s="6">
        <v>46927</v>
      </c>
      <c r="G33" s="2">
        <v>81</v>
      </c>
      <c r="H33" s="5">
        <v>300000</v>
      </c>
    </row>
    <row r="34" spans="1:8">
      <c r="A34" s="2">
        <v>5</v>
      </c>
      <c r="B34" s="4" t="s">
        <v>327</v>
      </c>
      <c r="C34" s="3" t="s">
        <v>103</v>
      </c>
      <c r="D34" s="3" t="s">
        <v>330</v>
      </c>
      <c r="E34" s="6">
        <v>46930</v>
      </c>
      <c r="F34" s="6">
        <v>46969</v>
      </c>
      <c r="G34" s="2">
        <v>39</v>
      </c>
      <c r="H34" s="5">
        <v>450000</v>
      </c>
    </row>
    <row r="35" spans="1:8">
      <c r="A35" s="2">
        <v>5</v>
      </c>
      <c r="B35" s="4" t="s">
        <v>327</v>
      </c>
      <c r="C35" s="3" t="s">
        <v>106</v>
      </c>
      <c r="D35" s="4" t="s">
        <v>331</v>
      </c>
      <c r="E35" s="6">
        <v>46971</v>
      </c>
      <c r="F35" s="6">
        <v>47081</v>
      </c>
      <c r="G35" s="2">
        <v>110</v>
      </c>
      <c r="H35" s="5">
        <v>2500000</v>
      </c>
    </row>
    <row r="36" spans="1:8">
      <c r="A36" s="2">
        <v>5</v>
      </c>
      <c r="B36" s="4" t="s">
        <v>327</v>
      </c>
      <c r="C36" s="3" t="s">
        <v>110</v>
      </c>
      <c r="D36" s="4" t="s">
        <v>332</v>
      </c>
      <c r="E36" s="6">
        <v>46971</v>
      </c>
      <c r="F36" s="6">
        <v>47109</v>
      </c>
      <c r="G36" s="2">
        <v>138</v>
      </c>
      <c r="H36" s="5">
        <v>2000000</v>
      </c>
    </row>
    <row r="37" spans="1:8" ht="28.9">
      <c r="A37" s="2">
        <v>5</v>
      </c>
      <c r="B37" s="4" t="s">
        <v>327</v>
      </c>
      <c r="C37" s="3" t="s">
        <v>333</v>
      </c>
      <c r="D37" s="4" t="s">
        <v>334</v>
      </c>
      <c r="E37" s="6">
        <v>46971</v>
      </c>
      <c r="F37" s="6">
        <v>47333</v>
      </c>
      <c r="G37" s="2">
        <v>362</v>
      </c>
      <c r="H37" s="5">
        <v>0</v>
      </c>
    </row>
    <row r="38" spans="1:8">
      <c r="A38" s="2">
        <v>6</v>
      </c>
      <c r="B38" s="4" t="s">
        <v>335</v>
      </c>
      <c r="C38" s="3" t="s">
        <v>113</v>
      </c>
      <c r="D38" s="4" t="s">
        <v>336</v>
      </c>
      <c r="E38" s="6">
        <v>46972</v>
      </c>
      <c r="F38" s="6">
        <v>46993</v>
      </c>
      <c r="G38" s="2">
        <v>21</v>
      </c>
      <c r="H38" s="5">
        <v>4000000</v>
      </c>
    </row>
    <row r="39" spans="1:8">
      <c r="A39" s="2">
        <v>6</v>
      </c>
      <c r="B39" s="4" t="s">
        <v>335</v>
      </c>
      <c r="C39" s="3" t="s">
        <v>117</v>
      </c>
      <c r="D39" s="4" t="s">
        <v>337</v>
      </c>
      <c r="E39" s="6">
        <v>46993</v>
      </c>
      <c r="F39" s="6">
        <v>47004</v>
      </c>
      <c r="G39" s="2">
        <v>11</v>
      </c>
      <c r="H39" s="5">
        <v>1200000</v>
      </c>
    </row>
    <row r="40" spans="1:8">
      <c r="A40" s="2">
        <v>6</v>
      </c>
      <c r="B40" s="4" t="s">
        <v>335</v>
      </c>
      <c r="C40" s="3" t="s">
        <v>120</v>
      </c>
      <c r="D40" s="3" t="s">
        <v>122</v>
      </c>
      <c r="E40" s="6">
        <v>47006</v>
      </c>
      <c r="F40" s="6">
        <v>47032</v>
      </c>
      <c r="G40" s="2">
        <v>26</v>
      </c>
      <c r="H40" s="5">
        <v>5400000</v>
      </c>
    </row>
    <row r="41" spans="1:8">
      <c r="A41" s="2">
        <v>6</v>
      </c>
      <c r="B41" s="4" t="s">
        <v>335</v>
      </c>
      <c r="C41" s="3" t="s">
        <v>125</v>
      </c>
      <c r="D41" s="4" t="s">
        <v>338</v>
      </c>
      <c r="E41" s="6">
        <v>47035</v>
      </c>
      <c r="F41" s="6">
        <v>47074</v>
      </c>
      <c r="G41" s="2">
        <v>39</v>
      </c>
      <c r="H41" s="5">
        <v>12000000</v>
      </c>
    </row>
    <row r="42" spans="1:8">
      <c r="A42" s="2">
        <v>6</v>
      </c>
      <c r="B42" s="4" t="s">
        <v>335</v>
      </c>
      <c r="C42" s="3" t="s">
        <v>130</v>
      </c>
      <c r="D42" s="4" t="s">
        <v>132</v>
      </c>
      <c r="E42" s="6">
        <v>47077</v>
      </c>
      <c r="F42" s="6">
        <v>47109</v>
      </c>
      <c r="G42" s="2">
        <v>32</v>
      </c>
      <c r="H42" s="5">
        <v>8250000</v>
      </c>
    </row>
    <row r="43" spans="1:8">
      <c r="A43" s="2">
        <v>6</v>
      </c>
      <c r="B43" s="4" t="s">
        <v>335</v>
      </c>
      <c r="C43" s="3" t="s">
        <v>133</v>
      </c>
      <c r="D43" s="4" t="s">
        <v>339</v>
      </c>
      <c r="E43" s="6">
        <v>47076</v>
      </c>
      <c r="F43" s="6">
        <v>47172</v>
      </c>
      <c r="G43" s="2">
        <v>96</v>
      </c>
      <c r="H43" s="5">
        <v>12000000</v>
      </c>
    </row>
    <row r="44" spans="1:8">
      <c r="A44" s="2">
        <v>6</v>
      </c>
      <c r="B44" s="4" t="s">
        <v>335</v>
      </c>
      <c r="C44" s="3" t="s">
        <v>137</v>
      </c>
      <c r="D44" s="4" t="s">
        <v>139</v>
      </c>
      <c r="E44" s="6">
        <v>47076</v>
      </c>
      <c r="F44" s="6">
        <v>47116</v>
      </c>
      <c r="G44" s="2">
        <v>40</v>
      </c>
      <c r="H44" s="5">
        <v>2000000</v>
      </c>
    </row>
    <row r="45" spans="1:8">
      <c r="A45" s="2">
        <v>6</v>
      </c>
      <c r="B45" s="4" t="s">
        <v>335</v>
      </c>
      <c r="C45" s="3" t="s">
        <v>142</v>
      </c>
      <c r="D45" s="3" t="s">
        <v>340</v>
      </c>
      <c r="E45" s="6">
        <v>47076</v>
      </c>
      <c r="F45" s="6">
        <v>47130</v>
      </c>
      <c r="G45" s="2">
        <v>54</v>
      </c>
      <c r="H45" s="5">
        <v>3000000</v>
      </c>
    </row>
    <row r="46" spans="1:8">
      <c r="A46" s="2">
        <v>6</v>
      </c>
      <c r="B46" s="4" t="s">
        <v>335</v>
      </c>
      <c r="C46" s="3" t="s">
        <v>145</v>
      </c>
      <c r="D46" s="4" t="s">
        <v>341</v>
      </c>
      <c r="E46" s="6">
        <v>47175</v>
      </c>
      <c r="F46" s="6">
        <v>47242</v>
      </c>
      <c r="G46" s="2">
        <v>67</v>
      </c>
      <c r="H46" s="5">
        <v>7500000</v>
      </c>
    </row>
    <row r="47" spans="1:8">
      <c r="A47" s="2">
        <v>6</v>
      </c>
      <c r="B47" s="4" t="s">
        <v>335</v>
      </c>
      <c r="C47" s="3" t="s">
        <v>150</v>
      </c>
      <c r="D47" s="4" t="s">
        <v>152</v>
      </c>
      <c r="E47" s="6">
        <v>47111</v>
      </c>
      <c r="F47" s="6">
        <v>47137</v>
      </c>
      <c r="G47" s="2">
        <v>26</v>
      </c>
      <c r="H47" s="5">
        <v>3000000</v>
      </c>
    </row>
    <row r="48" spans="1:8">
      <c r="A48" s="2">
        <v>6</v>
      </c>
      <c r="B48" s="4" t="s">
        <v>335</v>
      </c>
      <c r="C48" s="3" t="s">
        <v>155</v>
      </c>
      <c r="D48" s="4" t="s">
        <v>157</v>
      </c>
      <c r="E48" s="6">
        <v>47140</v>
      </c>
      <c r="F48" s="6">
        <v>47158</v>
      </c>
      <c r="G48" s="2">
        <v>18</v>
      </c>
      <c r="H48" s="5">
        <v>4000000</v>
      </c>
    </row>
    <row r="49" spans="1:8">
      <c r="A49" s="2">
        <v>7</v>
      </c>
      <c r="B49" s="4" t="s">
        <v>342</v>
      </c>
      <c r="C49" s="3" t="s">
        <v>158</v>
      </c>
      <c r="D49" s="4" t="s">
        <v>343</v>
      </c>
      <c r="E49" s="6">
        <v>47245</v>
      </c>
      <c r="F49" s="6">
        <v>47329</v>
      </c>
      <c r="G49" s="2">
        <v>84</v>
      </c>
      <c r="H49" s="5">
        <v>18000000</v>
      </c>
    </row>
    <row r="50" spans="1:8">
      <c r="A50" s="2">
        <v>7</v>
      </c>
      <c r="B50" s="4" t="s">
        <v>342</v>
      </c>
      <c r="C50" s="3" t="s">
        <v>163</v>
      </c>
      <c r="D50" s="3" t="s">
        <v>344</v>
      </c>
      <c r="E50" s="6">
        <v>47330</v>
      </c>
      <c r="F50" s="6">
        <v>47441</v>
      </c>
      <c r="G50" s="2">
        <v>111</v>
      </c>
      <c r="H50" s="5">
        <v>41249999.999999993</v>
      </c>
    </row>
    <row r="51" spans="1:8">
      <c r="A51" s="2">
        <v>7</v>
      </c>
      <c r="B51" s="4" t="s">
        <v>342</v>
      </c>
      <c r="C51" s="3" t="s">
        <v>171</v>
      </c>
      <c r="D51" s="4" t="s">
        <v>345</v>
      </c>
      <c r="E51" s="6">
        <v>47442</v>
      </c>
      <c r="F51" s="6">
        <v>47497</v>
      </c>
      <c r="G51" s="2">
        <v>55</v>
      </c>
      <c r="H51" s="5">
        <v>2700000</v>
      </c>
    </row>
    <row r="52" spans="1:8">
      <c r="A52" s="2">
        <v>7</v>
      </c>
      <c r="B52" s="4" t="s">
        <v>342</v>
      </c>
      <c r="C52" s="3" t="s">
        <v>174</v>
      </c>
      <c r="D52" s="4" t="s">
        <v>346</v>
      </c>
      <c r="E52" s="6">
        <v>47498</v>
      </c>
      <c r="F52" s="6">
        <v>47567</v>
      </c>
      <c r="G52" s="2">
        <v>69</v>
      </c>
      <c r="H52" s="5">
        <v>10500000</v>
      </c>
    </row>
    <row r="53" spans="1:8">
      <c r="A53" s="2">
        <v>7</v>
      </c>
      <c r="B53" s="4" t="s">
        <v>342</v>
      </c>
      <c r="C53" s="3" t="s">
        <v>347</v>
      </c>
      <c r="D53" s="4" t="s">
        <v>348</v>
      </c>
      <c r="E53" s="6">
        <v>47119</v>
      </c>
      <c r="F53" s="6">
        <v>47144</v>
      </c>
      <c r="G53" s="2">
        <v>25</v>
      </c>
      <c r="H53" s="5">
        <v>0</v>
      </c>
    </row>
    <row r="54" spans="1:8">
      <c r="A54" s="2">
        <v>7</v>
      </c>
      <c r="B54" s="4" t="s">
        <v>342</v>
      </c>
      <c r="C54" s="3" t="s">
        <v>177</v>
      </c>
      <c r="D54" s="4" t="s">
        <v>349</v>
      </c>
      <c r="E54" s="6">
        <v>47147</v>
      </c>
      <c r="F54" s="6">
        <v>47189</v>
      </c>
      <c r="G54" s="2">
        <v>42</v>
      </c>
      <c r="H54" s="5">
        <v>10500000</v>
      </c>
    </row>
    <row r="55" spans="1:8">
      <c r="A55" s="2">
        <v>7</v>
      </c>
      <c r="B55" s="4" t="s">
        <v>342</v>
      </c>
      <c r="C55" s="3" t="s">
        <v>350</v>
      </c>
      <c r="D55" s="4" t="s">
        <v>351</v>
      </c>
      <c r="E55" s="6">
        <v>47568</v>
      </c>
      <c r="F55" s="6">
        <v>47599</v>
      </c>
      <c r="G55" s="2">
        <v>31</v>
      </c>
      <c r="H55" s="5">
        <v>0</v>
      </c>
    </row>
    <row r="56" spans="1:8">
      <c r="A56" s="2">
        <v>7</v>
      </c>
      <c r="B56" s="4" t="s">
        <v>342</v>
      </c>
      <c r="C56" s="3" t="s">
        <v>182</v>
      </c>
      <c r="D56" s="4" t="s">
        <v>352</v>
      </c>
      <c r="E56" s="6">
        <v>47602</v>
      </c>
      <c r="F56" s="6">
        <v>47669</v>
      </c>
      <c r="G56" s="2">
        <v>67</v>
      </c>
      <c r="H56" s="5">
        <v>18750000</v>
      </c>
    </row>
    <row r="57" spans="1:8" ht="28.9">
      <c r="A57" s="2">
        <v>7</v>
      </c>
      <c r="B57" s="4" t="s">
        <v>342</v>
      </c>
      <c r="C57" s="3" t="s">
        <v>186</v>
      </c>
      <c r="D57" s="4" t="s">
        <v>353</v>
      </c>
      <c r="E57" s="6">
        <v>47190</v>
      </c>
      <c r="F57" s="6">
        <v>47242</v>
      </c>
      <c r="G57" s="2">
        <v>52</v>
      </c>
      <c r="H57" s="5">
        <v>12000000</v>
      </c>
    </row>
    <row r="58" spans="1:8">
      <c r="A58" s="2">
        <v>7</v>
      </c>
      <c r="B58" s="4" t="s">
        <v>342</v>
      </c>
      <c r="C58" s="3" t="s">
        <v>354</v>
      </c>
      <c r="D58" s="4" t="s">
        <v>355</v>
      </c>
      <c r="E58" s="6">
        <v>47133</v>
      </c>
      <c r="F58" s="6">
        <v>47172</v>
      </c>
      <c r="G58" s="2">
        <v>39</v>
      </c>
      <c r="H58" s="5">
        <v>0</v>
      </c>
    </row>
    <row r="59" spans="1:8">
      <c r="A59" s="2">
        <v>7</v>
      </c>
      <c r="B59" s="4" t="s">
        <v>342</v>
      </c>
      <c r="C59" s="3" t="s">
        <v>189</v>
      </c>
      <c r="D59" s="4" t="s">
        <v>356</v>
      </c>
      <c r="E59" s="6">
        <v>47336</v>
      </c>
      <c r="F59" s="6">
        <v>47375</v>
      </c>
      <c r="G59" s="2">
        <v>39</v>
      </c>
      <c r="H59" s="5">
        <v>8000000</v>
      </c>
    </row>
    <row r="60" spans="1:8">
      <c r="A60" s="2">
        <v>7</v>
      </c>
      <c r="B60" s="4" t="s">
        <v>342</v>
      </c>
      <c r="C60" s="3" t="s">
        <v>192</v>
      </c>
      <c r="D60" s="4" t="s">
        <v>357</v>
      </c>
      <c r="E60" s="6">
        <v>47336</v>
      </c>
      <c r="F60" s="6">
        <v>47389</v>
      </c>
      <c r="G60" s="2">
        <v>53</v>
      </c>
      <c r="H60" s="5">
        <v>11000000</v>
      </c>
    </row>
    <row r="61" spans="1:8">
      <c r="A61" s="2">
        <v>7</v>
      </c>
      <c r="B61" s="4" t="s">
        <v>342</v>
      </c>
      <c r="C61" s="3" t="s">
        <v>196</v>
      </c>
      <c r="D61" s="4" t="s">
        <v>358</v>
      </c>
      <c r="E61" s="6">
        <v>47175</v>
      </c>
      <c r="F61" s="6">
        <v>47213</v>
      </c>
      <c r="G61" s="2">
        <v>38</v>
      </c>
      <c r="H61" s="5">
        <v>4000000</v>
      </c>
    </row>
    <row r="62" spans="1:8" ht="28.9">
      <c r="A62" s="2">
        <v>7</v>
      </c>
      <c r="B62" s="4" t="s">
        <v>342</v>
      </c>
      <c r="C62" s="3" t="s">
        <v>199</v>
      </c>
      <c r="D62" s="4" t="s">
        <v>359</v>
      </c>
      <c r="E62" s="6">
        <v>47392</v>
      </c>
      <c r="F62" s="6">
        <v>47473</v>
      </c>
      <c r="G62" s="2">
        <v>81</v>
      </c>
      <c r="H62" s="5">
        <v>10000000</v>
      </c>
    </row>
    <row r="63" spans="1:8">
      <c r="A63" s="2">
        <v>7</v>
      </c>
      <c r="B63" s="4" t="s">
        <v>342</v>
      </c>
      <c r="C63" s="3" t="s">
        <v>202</v>
      </c>
      <c r="D63" s="4" t="s">
        <v>360</v>
      </c>
      <c r="E63" s="6">
        <v>47112</v>
      </c>
      <c r="F63" s="6">
        <v>47151</v>
      </c>
      <c r="G63" s="2">
        <v>39</v>
      </c>
      <c r="H63" s="5">
        <v>139998000</v>
      </c>
    </row>
    <row r="64" spans="1:8">
      <c r="A64" s="2">
        <v>7</v>
      </c>
      <c r="B64" s="4" t="s">
        <v>342</v>
      </c>
      <c r="C64" s="3" t="s">
        <v>209</v>
      </c>
      <c r="D64" s="4" t="s">
        <v>361</v>
      </c>
      <c r="E64" s="6">
        <v>47154</v>
      </c>
      <c r="F64" s="6">
        <v>47186</v>
      </c>
      <c r="G64" s="2">
        <v>32</v>
      </c>
      <c r="H64" s="5">
        <v>12000000</v>
      </c>
    </row>
    <row r="65" spans="1:8">
      <c r="A65" s="2">
        <v>7</v>
      </c>
      <c r="B65" s="4" t="s">
        <v>342</v>
      </c>
      <c r="C65" s="3" t="s">
        <v>212</v>
      </c>
      <c r="D65" s="4" t="s">
        <v>362</v>
      </c>
      <c r="E65" s="6">
        <v>47154</v>
      </c>
      <c r="F65" s="6">
        <v>47186</v>
      </c>
      <c r="G65" s="2">
        <v>32</v>
      </c>
      <c r="H65" s="5">
        <v>30000000</v>
      </c>
    </row>
    <row r="66" spans="1:8">
      <c r="A66" s="2">
        <v>7</v>
      </c>
      <c r="B66" s="4" t="s">
        <v>342</v>
      </c>
      <c r="C66" s="3" t="s">
        <v>216</v>
      </c>
      <c r="D66" s="4" t="s">
        <v>363</v>
      </c>
      <c r="E66" s="6">
        <v>47189</v>
      </c>
      <c r="F66" s="6">
        <v>47214</v>
      </c>
      <c r="G66" s="2">
        <v>25</v>
      </c>
      <c r="H66" s="5">
        <v>8000000</v>
      </c>
    </row>
    <row r="67" spans="1:8" ht="28.9">
      <c r="A67" s="2">
        <v>7</v>
      </c>
      <c r="B67" s="4" t="s">
        <v>342</v>
      </c>
      <c r="C67" s="3" t="s">
        <v>219</v>
      </c>
      <c r="D67" s="4" t="s">
        <v>364</v>
      </c>
      <c r="E67" s="6">
        <v>47154</v>
      </c>
      <c r="F67" s="6">
        <v>47186</v>
      </c>
      <c r="G67" s="2">
        <v>32</v>
      </c>
      <c r="H67" s="5">
        <v>10000000</v>
      </c>
    </row>
    <row r="68" spans="1:8">
      <c r="A68" s="2">
        <v>8</v>
      </c>
      <c r="B68" s="4" t="s">
        <v>365</v>
      </c>
      <c r="C68" s="3" t="s">
        <v>222</v>
      </c>
      <c r="D68" s="4" t="s">
        <v>366</v>
      </c>
      <c r="E68" s="6">
        <v>47217</v>
      </c>
      <c r="F68" s="6">
        <v>47242</v>
      </c>
      <c r="G68" s="2">
        <v>25</v>
      </c>
      <c r="H68" s="5">
        <v>5500000</v>
      </c>
    </row>
    <row r="69" spans="1:8">
      <c r="A69" s="2">
        <v>8</v>
      </c>
      <c r="B69" s="4" t="s">
        <v>365</v>
      </c>
      <c r="C69" s="3" t="s">
        <v>225</v>
      </c>
      <c r="D69" s="3" t="s">
        <v>367</v>
      </c>
      <c r="E69" s="6">
        <v>47245</v>
      </c>
      <c r="F69" s="6">
        <v>47277</v>
      </c>
      <c r="G69" s="2">
        <v>32</v>
      </c>
      <c r="H69" s="5">
        <v>3000000</v>
      </c>
    </row>
    <row r="70" spans="1:8">
      <c r="A70" s="2">
        <v>8</v>
      </c>
      <c r="B70" s="4" t="s">
        <v>365</v>
      </c>
      <c r="C70" s="3" t="s">
        <v>228</v>
      </c>
      <c r="D70" s="4" t="s">
        <v>368</v>
      </c>
      <c r="E70" s="6">
        <v>47602</v>
      </c>
      <c r="F70" s="6">
        <v>47620</v>
      </c>
      <c r="G70" s="2">
        <v>18</v>
      </c>
      <c r="H70" s="5">
        <v>1500000</v>
      </c>
    </row>
    <row r="71" spans="1:8">
      <c r="A71" s="2">
        <v>8</v>
      </c>
      <c r="B71" s="4" t="s">
        <v>365</v>
      </c>
      <c r="C71" s="3" t="s">
        <v>231</v>
      </c>
      <c r="D71" s="4" t="s">
        <v>369</v>
      </c>
      <c r="E71" s="6">
        <v>47623</v>
      </c>
      <c r="F71" s="6">
        <v>47641</v>
      </c>
      <c r="G71" s="2">
        <v>18</v>
      </c>
      <c r="H71" s="5">
        <v>750000</v>
      </c>
    </row>
    <row r="72" spans="1:8" ht="28.9">
      <c r="A72" s="2">
        <v>8</v>
      </c>
      <c r="B72" s="4" t="s">
        <v>365</v>
      </c>
      <c r="C72" s="3" t="s">
        <v>234</v>
      </c>
      <c r="D72" s="4" t="s">
        <v>370</v>
      </c>
      <c r="E72" s="6">
        <v>47623</v>
      </c>
      <c r="F72" s="6">
        <v>47634</v>
      </c>
      <c r="G72" s="2">
        <v>11</v>
      </c>
      <c r="H72" s="5">
        <v>750000</v>
      </c>
    </row>
    <row r="73" spans="1:8" ht="28.9">
      <c r="A73" s="2">
        <v>9</v>
      </c>
      <c r="B73" s="4" t="s">
        <v>371</v>
      </c>
      <c r="C73" s="3" t="s">
        <v>237</v>
      </c>
      <c r="D73" s="4" t="s">
        <v>372</v>
      </c>
      <c r="E73" s="6">
        <v>47672</v>
      </c>
      <c r="F73" s="6">
        <v>47697</v>
      </c>
      <c r="G73" s="2">
        <v>25</v>
      </c>
      <c r="H73" s="5">
        <v>800000</v>
      </c>
    </row>
    <row r="74" spans="1:8" ht="28.9">
      <c r="A74" s="2">
        <v>9</v>
      </c>
      <c r="B74" s="4" t="s">
        <v>371</v>
      </c>
      <c r="C74" s="3" t="s">
        <v>240</v>
      </c>
      <c r="D74" s="4" t="s">
        <v>373</v>
      </c>
      <c r="E74" s="6">
        <v>47700</v>
      </c>
      <c r="F74" s="6">
        <v>47718</v>
      </c>
      <c r="G74" s="2">
        <v>18</v>
      </c>
      <c r="H74" s="5">
        <v>900000</v>
      </c>
    </row>
    <row r="75" spans="1:8" ht="28.9">
      <c r="A75" s="2">
        <v>9</v>
      </c>
      <c r="B75" s="4" t="s">
        <v>371</v>
      </c>
      <c r="C75" s="3" t="s">
        <v>243</v>
      </c>
      <c r="D75" s="4" t="s">
        <v>374</v>
      </c>
      <c r="E75" s="6">
        <v>47700</v>
      </c>
      <c r="F75" s="6">
        <v>47725</v>
      </c>
      <c r="G75" s="2">
        <v>25</v>
      </c>
      <c r="H75" s="5">
        <v>2000000</v>
      </c>
    </row>
    <row r="76" spans="1:8" ht="28.9">
      <c r="A76" s="2">
        <v>9</v>
      </c>
      <c r="B76" s="4" t="s">
        <v>371</v>
      </c>
      <c r="C76" s="3" t="s">
        <v>246</v>
      </c>
      <c r="D76" s="4" t="s">
        <v>248</v>
      </c>
      <c r="E76" s="6">
        <v>47644</v>
      </c>
      <c r="F76" s="6">
        <v>47655</v>
      </c>
      <c r="G76" s="2">
        <v>11</v>
      </c>
      <c r="H76" s="5">
        <v>600000</v>
      </c>
    </row>
    <row r="77" spans="1:8" ht="28.9">
      <c r="A77" s="2">
        <v>9</v>
      </c>
      <c r="B77" s="4" t="s">
        <v>371</v>
      </c>
      <c r="C77" s="3" t="s">
        <v>375</v>
      </c>
      <c r="D77" s="4" t="s">
        <v>376</v>
      </c>
      <c r="E77" s="6">
        <v>47728</v>
      </c>
      <c r="F77" s="6">
        <v>47746</v>
      </c>
      <c r="G77" s="2">
        <v>18</v>
      </c>
      <c r="H77" s="5">
        <v>0</v>
      </c>
    </row>
    <row r="78" spans="1:8" ht="28.9">
      <c r="A78" s="2">
        <v>9</v>
      </c>
      <c r="B78" s="4" t="s">
        <v>371</v>
      </c>
      <c r="C78" s="3" t="s">
        <v>249</v>
      </c>
      <c r="D78" s="3" t="s">
        <v>377</v>
      </c>
      <c r="E78" s="6">
        <v>47749</v>
      </c>
      <c r="F78" s="6">
        <v>47774</v>
      </c>
      <c r="G78" s="2">
        <v>25</v>
      </c>
      <c r="H78" s="5">
        <v>16200000</v>
      </c>
    </row>
    <row r="79" spans="1:8">
      <c r="A79" s="2">
        <v>10</v>
      </c>
      <c r="B79" s="3" t="s">
        <v>378</v>
      </c>
      <c r="C79" s="3" t="s">
        <v>254</v>
      </c>
      <c r="D79" s="3" t="s">
        <v>379</v>
      </c>
      <c r="E79" s="6">
        <v>47777</v>
      </c>
      <c r="F79" s="6">
        <v>47816</v>
      </c>
      <c r="G79" s="2">
        <v>39</v>
      </c>
      <c r="H79" s="5">
        <v>600000</v>
      </c>
    </row>
    <row r="80" spans="1:8">
      <c r="A80" s="2">
        <v>10</v>
      </c>
      <c r="B80" s="3" t="s">
        <v>378</v>
      </c>
      <c r="C80" s="3" t="s">
        <v>257</v>
      </c>
      <c r="D80" s="4" t="s">
        <v>380</v>
      </c>
      <c r="E80" s="6">
        <v>47777</v>
      </c>
      <c r="F80" s="6">
        <v>47802</v>
      </c>
      <c r="G80" s="2">
        <v>25</v>
      </c>
      <c r="H80" s="5">
        <v>2000000</v>
      </c>
    </row>
    <row r="81" spans="1:8">
      <c r="A81" s="2">
        <v>10</v>
      </c>
      <c r="B81" s="3" t="s">
        <v>378</v>
      </c>
      <c r="C81" s="3" t="s">
        <v>260</v>
      </c>
      <c r="D81" s="4" t="s">
        <v>381</v>
      </c>
      <c r="E81" s="6">
        <v>47805</v>
      </c>
      <c r="F81" s="6">
        <v>47819</v>
      </c>
      <c r="G81" s="2">
        <v>14</v>
      </c>
      <c r="H81" s="5">
        <v>300000</v>
      </c>
    </row>
    <row r="82" spans="1:8">
      <c r="A82" s="2">
        <v>10</v>
      </c>
      <c r="B82" s="3" t="s">
        <v>378</v>
      </c>
      <c r="C82" s="3" t="s">
        <v>263</v>
      </c>
      <c r="D82" s="3" t="s">
        <v>382</v>
      </c>
      <c r="E82" s="6">
        <v>47820</v>
      </c>
      <c r="F82" s="6">
        <v>47847</v>
      </c>
      <c r="G82" s="2">
        <v>27</v>
      </c>
      <c r="H82" s="5">
        <v>3000000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showGridLines="0" workbookViewId="0">
      <selection sqref="A1:F1"/>
    </sheetView>
  </sheetViews>
  <sheetFormatPr defaultRowHeight="14.45"/>
  <cols>
    <col min="1" max="1" width="10" customWidth="1"/>
    <col min="2" max="2" width="34" customWidth="1"/>
    <col min="3" max="4" width="15" customWidth="1"/>
    <col min="5" max="5" width="12" customWidth="1"/>
    <col min="6" max="6" width="18" customWidth="1"/>
    <col min="7" max="7" width="15" customWidth="1"/>
    <col min="8" max="8" width="16" customWidth="1"/>
  </cols>
  <sheetData>
    <row r="1" spans="1:8" ht="18">
      <c r="A1" s="26" t="s">
        <v>383</v>
      </c>
      <c r="B1" s="27"/>
      <c r="C1" s="27"/>
      <c r="D1" s="27"/>
      <c r="E1" s="27"/>
      <c r="F1" s="27"/>
    </row>
    <row r="3" spans="1:8" ht="31.9" customHeight="1">
      <c r="A3" s="14" t="s">
        <v>280</v>
      </c>
      <c r="B3" s="14" t="s">
        <v>281</v>
      </c>
      <c r="C3" s="14" t="s">
        <v>384</v>
      </c>
      <c r="D3" s="14" t="s">
        <v>385</v>
      </c>
      <c r="E3" s="14" t="s">
        <v>386</v>
      </c>
      <c r="F3" s="14" t="s">
        <v>286</v>
      </c>
      <c r="G3" s="14" t="s">
        <v>387</v>
      </c>
      <c r="H3" s="14" t="s">
        <v>388</v>
      </c>
    </row>
    <row r="4" spans="1:8">
      <c r="A4" s="2">
        <v>1</v>
      </c>
      <c r="B4" s="3" t="s">
        <v>287</v>
      </c>
      <c r="C4" s="9">
        <v>46328</v>
      </c>
      <c r="D4" s="9">
        <v>47847</v>
      </c>
      <c r="E4" s="2">
        <v>4</v>
      </c>
      <c r="F4" s="10">
        <v>33102000</v>
      </c>
      <c r="G4" s="11">
        <v>6.6203999999999999E-2</v>
      </c>
      <c r="H4" s="12">
        <v>49.905544147843941</v>
      </c>
    </row>
    <row r="5" spans="1:8">
      <c r="A5" s="2">
        <v>2</v>
      </c>
      <c r="B5" s="4" t="s">
        <v>293</v>
      </c>
      <c r="C5" s="9">
        <v>46342</v>
      </c>
      <c r="D5" s="9">
        <v>46689</v>
      </c>
      <c r="E5" s="2">
        <v>13</v>
      </c>
      <c r="F5" s="10">
        <v>5900000</v>
      </c>
      <c r="G5" s="11">
        <v>1.18E-2</v>
      </c>
      <c r="H5" s="12">
        <v>11.400410677618069</v>
      </c>
    </row>
    <row r="6" spans="1:8">
      <c r="A6" s="2">
        <v>3</v>
      </c>
      <c r="B6" s="3" t="s">
        <v>313</v>
      </c>
      <c r="C6" s="9">
        <v>46384</v>
      </c>
      <c r="D6" s="9">
        <v>46843</v>
      </c>
      <c r="E6" s="2">
        <v>7</v>
      </c>
      <c r="F6" s="10">
        <v>5500000</v>
      </c>
      <c r="G6" s="11">
        <v>1.0999999999999999E-2</v>
      </c>
      <c r="H6" s="12">
        <v>15.080082135523615</v>
      </c>
    </row>
    <row r="7" spans="1:8">
      <c r="A7" s="2">
        <v>4</v>
      </c>
      <c r="B7" s="3" t="s">
        <v>322</v>
      </c>
      <c r="C7" s="9">
        <v>46439</v>
      </c>
      <c r="D7" s="9">
        <v>46899</v>
      </c>
      <c r="E7" s="2">
        <v>4</v>
      </c>
      <c r="F7" s="10">
        <v>3150000</v>
      </c>
      <c r="G7" s="11">
        <v>6.3E-3</v>
      </c>
      <c r="H7" s="12">
        <v>15.112936344969199</v>
      </c>
    </row>
    <row r="8" spans="1:8">
      <c r="A8" s="2">
        <v>5</v>
      </c>
      <c r="B8" s="4" t="s">
        <v>327</v>
      </c>
      <c r="C8" s="9">
        <v>46481</v>
      </c>
      <c r="D8" s="9">
        <v>47333</v>
      </c>
      <c r="E8" s="2">
        <v>6</v>
      </c>
      <c r="F8" s="10">
        <v>5400000</v>
      </c>
      <c r="G8" s="11">
        <v>1.0800000000000001E-2</v>
      </c>
      <c r="H8" s="12">
        <v>27.991786447638603</v>
      </c>
    </row>
    <row r="9" spans="1:8">
      <c r="A9" s="2">
        <v>6</v>
      </c>
      <c r="B9" s="4" t="s">
        <v>335</v>
      </c>
      <c r="C9" s="9">
        <v>46972</v>
      </c>
      <c r="D9" s="9">
        <v>47242</v>
      </c>
      <c r="E9" s="2">
        <v>11</v>
      </c>
      <c r="F9" s="10">
        <v>62350000</v>
      </c>
      <c r="G9" s="11">
        <v>0.12470000000000001</v>
      </c>
      <c r="H9" s="12">
        <v>8.8706365503080082</v>
      </c>
    </row>
    <row r="10" spans="1:8">
      <c r="A10" s="2">
        <v>7</v>
      </c>
      <c r="B10" s="4" t="s">
        <v>342</v>
      </c>
      <c r="C10" s="9">
        <v>47112</v>
      </c>
      <c r="D10" s="9">
        <v>47669</v>
      </c>
      <c r="E10" s="2">
        <v>19</v>
      </c>
      <c r="F10" s="10">
        <v>346698000</v>
      </c>
      <c r="G10" s="11">
        <v>0.69339600000000001</v>
      </c>
      <c r="H10" s="12">
        <v>18.299794661190965</v>
      </c>
    </row>
    <row r="11" spans="1:8">
      <c r="A11" s="2">
        <v>8</v>
      </c>
      <c r="B11" s="4" t="s">
        <v>365</v>
      </c>
      <c r="C11" s="9">
        <v>47217</v>
      </c>
      <c r="D11" s="9">
        <v>47641</v>
      </c>
      <c r="E11" s="2">
        <v>5</v>
      </c>
      <c r="F11" s="10">
        <v>11500000</v>
      </c>
      <c r="G11" s="11">
        <v>2.3E-2</v>
      </c>
      <c r="H11" s="12">
        <v>13.930184804928132</v>
      </c>
    </row>
    <row r="12" spans="1:8">
      <c r="A12" s="2">
        <v>9</v>
      </c>
      <c r="B12" s="4" t="s">
        <v>371</v>
      </c>
      <c r="C12" s="9">
        <v>47644</v>
      </c>
      <c r="D12" s="9">
        <v>47774</v>
      </c>
      <c r="E12" s="2">
        <v>6</v>
      </c>
      <c r="F12" s="10">
        <v>20500000</v>
      </c>
      <c r="G12" s="11">
        <v>4.1000000000000002E-2</v>
      </c>
      <c r="H12" s="12">
        <v>4.2710472279260783</v>
      </c>
    </row>
    <row r="13" spans="1:8">
      <c r="A13" s="2">
        <v>10</v>
      </c>
      <c r="B13" s="3" t="s">
        <v>378</v>
      </c>
      <c r="C13" s="9">
        <v>47777</v>
      </c>
      <c r="D13" s="9">
        <v>47847</v>
      </c>
      <c r="E13" s="2">
        <v>4</v>
      </c>
      <c r="F13" s="10">
        <v>5900000</v>
      </c>
      <c r="G13" s="11">
        <v>1.18E-2</v>
      </c>
      <c r="H13" s="12">
        <v>2.299794661190965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3"/>
  <sheetViews>
    <sheetView showGridLines="0" workbookViewId="0">
      <selection sqref="A1:C1"/>
    </sheetView>
  </sheetViews>
  <sheetFormatPr defaultRowHeight="14.45"/>
  <cols>
    <col min="1" max="1" width="16" customWidth="1"/>
    <col min="2" max="2" width="24" customWidth="1"/>
    <col min="3" max="3" width="22" customWidth="1"/>
  </cols>
  <sheetData>
    <row r="1" spans="1:3" ht="18">
      <c r="A1" s="26" t="s">
        <v>389</v>
      </c>
      <c r="B1" s="27"/>
      <c r="C1" s="27"/>
    </row>
    <row r="3" spans="1:3" ht="31.9" customHeight="1">
      <c r="A3" s="14" t="s">
        <v>390</v>
      </c>
      <c r="B3" s="14" t="s">
        <v>391</v>
      </c>
      <c r="C3" s="14" t="s">
        <v>392</v>
      </c>
    </row>
    <row r="4" spans="1:3">
      <c r="A4" s="7">
        <v>46327</v>
      </c>
      <c r="B4" s="13">
        <v>709676.31578947371</v>
      </c>
      <c r="C4" s="13">
        <v>709676.31578947371</v>
      </c>
    </row>
    <row r="5" spans="1:3">
      <c r="A5" s="7">
        <v>46357</v>
      </c>
      <c r="B5" s="13">
        <v>7078065.0569316065</v>
      </c>
      <c r="C5" s="13">
        <v>7787741.3727210797</v>
      </c>
    </row>
    <row r="6" spans="1:3">
      <c r="A6" s="7">
        <v>46388</v>
      </c>
      <c r="B6" s="13">
        <v>3067369.7077517938</v>
      </c>
      <c r="C6" s="13">
        <v>10855111.080472874</v>
      </c>
    </row>
    <row r="7" spans="1:3">
      <c r="A7" s="7">
        <v>46419</v>
      </c>
      <c r="B7" s="13">
        <v>1762580.4345261829</v>
      </c>
      <c r="C7" s="13">
        <v>12617691.514999056</v>
      </c>
    </row>
    <row r="8" spans="1:3">
      <c r="A8" s="7">
        <v>46447</v>
      </c>
      <c r="B8" s="13">
        <v>2161660.4067709334</v>
      </c>
      <c r="C8" s="13">
        <v>14779351.92176999</v>
      </c>
    </row>
    <row r="9" spans="1:3">
      <c r="A9" s="7">
        <v>46478</v>
      </c>
      <c r="B9" s="13">
        <v>1861532.3120962707</v>
      </c>
      <c r="C9" s="13">
        <v>16640884.233866259</v>
      </c>
    </row>
    <row r="10" spans="1:3">
      <c r="A10" s="7">
        <v>46508</v>
      </c>
      <c r="B10" s="13">
        <v>1525271.7589025791</v>
      </c>
      <c r="C10" s="13">
        <v>18166155.992768839</v>
      </c>
    </row>
    <row r="11" spans="1:3">
      <c r="A11" s="7">
        <v>46539</v>
      </c>
      <c r="B11" s="13">
        <v>1237997.1313516204</v>
      </c>
      <c r="C11" s="13">
        <v>19404153.124120459</v>
      </c>
    </row>
    <row r="12" spans="1:3">
      <c r="A12" s="7">
        <v>46569</v>
      </c>
      <c r="B12" s="13">
        <v>1090072.0475042523</v>
      </c>
      <c r="C12" s="13">
        <v>20494225.171624713</v>
      </c>
    </row>
    <row r="13" spans="1:3">
      <c r="A13" s="7">
        <v>46600</v>
      </c>
      <c r="B13" s="13">
        <v>749813.38672768883</v>
      </c>
      <c r="C13" s="13">
        <v>21244038.558352403</v>
      </c>
    </row>
    <row r="14" spans="1:3">
      <c r="A14" s="7">
        <v>46631</v>
      </c>
      <c r="B14" s="13">
        <v>725625.85812356975</v>
      </c>
      <c r="C14" s="13">
        <v>21969664.416475974</v>
      </c>
    </row>
    <row r="15" spans="1:3">
      <c r="A15" s="7">
        <v>46661</v>
      </c>
      <c r="B15" s="13">
        <v>749813.38672768883</v>
      </c>
      <c r="C15" s="13">
        <v>22719477.803203665</v>
      </c>
    </row>
    <row r="16" spans="1:3">
      <c r="A16" s="7">
        <v>46692</v>
      </c>
      <c r="B16" s="13">
        <v>1271080.4035781152</v>
      </c>
      <c r="C16" s="13">
        <v>23990558.206781778</v>
      </c>
    </row>
    <row r="17" spans="1:3">
      <c r="A17" s="7">
        <v>46722</v>
      </c>
      <c r="B17" s="13">
        <v>1176493.228624922</v>
      </c>
      <c r="C17" s="13">
        <v>25167051.4354067</v>
      </c>
    </row>
    <row r="18" spans="1:3">
      <c r="A18" s="7">
        <v>46753</v>
      </c>
      <c r="B18" s="13">
        <v>1111275.8373205741</v>
      </c>
      <c r="C18" s="13">
        <v>26278327.272727273</v>
      </c>
    </row>
    <row r="19" spans="1:3">
      <c r="A19" s="7">
        <v>46784</v>
      </c>
      <c r="B19" s="13">
        <v>1109580.6220095693</v>
      </c>
      <c r="C19" s="13">
        <v>27387907.894736841</v>
      </c>
    </row>
    <row r="20" spans="1:3">
      <c r="A20" s="7">
        <v>46813</v>
      </c>
      <c r="B20" s="13">
        <v>1477639.4736842106</v>
      </c>
      <c r="C20" s="13">
        <v>28865547.368421052</v>
      </c>
    </row>
    <row r="21" spans="1:3">
      <c r="A21" s="7">
        <v>46844</v>
      </c>
      <c r="B21" s="13">
        <v>1254634.9308229925</v>
      </c>
      <c r="C21" s="13">
        <v>30120182.299244042</v>
      </c>
    </row>
    <row r="22" spans="1:3">
      <c r="A22" s="7">
        <v>46874</v>
      </c>
      <c r="B22" s="13">
        <v>1238831.8856083297</v>
      </c>
      <c r="C22" s="13">
        <v>31359014.184852373</v>
      </c>
    </row>
    <row r="23" spans="1:3">
      <c r="A23" s="7">
        <v>46905</v>
      </c>
      <c r="B23" s="13">
        <v>670370.02567394089</v>
      </c>
      <c r="C23" s="13">
        <v>32029384.210526314</v>
      </c>
    </row>
    <row r="24" spans="1:3">
      <c r="A24" s="7">
        <v>46935</v>
      </c>
      <c r="B24" s="13">
        <v>896389.47368421056</v>
      </c>
      <c r="C24" s="13">
        <v>32925773.684210524</v>
      </c>
    </row>
    <row r="25" spans="1:3">
      <c r="A25" s="7">
        <v>46966</v>
      </c>
      <c r="B25" s="13">
        <v>5952325.7786942571</v>
      </c>
      <c r="C25" s="13">
        <v>38878099.462904781</v>
      </c>
    </row>
    <row r="26" spans="1:3">
      <c r="A26" s="7">
        <v>46997</v>
      </c>
      <c r="B26" s="13">
        <v>6637304.0361451954</v>
      </c>
      <c r="C26" s="13">
        <v>45515403.499049976</v>
      </c>
    </row>
    <row r="27" spans="1:3">
      <c r="A27" s="7">
        <v>47027</v>
      </c>
      <c r="B27" s="13">
        <v>9791880.8373500351</v>
      </c>
      <c r="C27" s="13">
        <v>55307284.33640001</v>
      </c>
    </row>
    <row r="28" spans="1:3">
      <c r="A28" s="7">
        <v>47058</v>
      </c>
      <c r="B28" s="13">
        <v>12076616.291688276</v>
      </c>
      <c r="C28" s="13">
        <v>67383900.628088281</v>
      </c>
    </row>
    <row r="29" spans="1:3">
      <c r="A29" s="7">
        <v>47088</v>
      </c>
      <c r="B29" s="13">
        <v>38693319.908805333</v>
      </c>
      <c r="C29" s="13">
        <v>106077220.53689361</v>
      </c>
    </row>
    <row r="30" spans="1:3">
      <c r="A30" s="7">
        <v>47119</v>
      </c>
      <c r="B30" s="13">
        <v>118484618.88316214</v>
      </c>
      <c r="C30" s="13">
        <v>224561839.42005575</v>
      </c>
    </row>
    <row r="31" spans="1:3">
      <c r="A31" s="7">
        <v>47150</v>
      </c>
      <c r="B31" s="13">
        <v>57528605.553251572</v>
      </c>
      <c r="C31" s="13">
        <v>282090444.97330731</v>
      </c>
    </row>
    <row r="32" spans="1:3">
      <c r="A32" s="7">
        <v>47178</v>
      </c>
      <c r="B32" s="13">
        <v>34714027.986486912</v>
      </c>
      <c r="C32" s="13">
        <v>316804472.95979422</v>
      </c>
    </row>
    <row r="33" spans="1:3">
      <c r="A33" s="7">
        <v>47209</v>
      </c>
      <c r="B33" s="13">
        <v>17644070.556631483</v>
      </c>
      <c r="C33" s="13">
        <v>334448543.51642573</v>
      </c>
    </row>
    <row r="34" spans="1:3">
      <c r="A34" s="7">
        <v>47239</v>
      </c>
      <c r="B34" s="13">
        <v>10307475.087570878</v>
      </c>
      <c r="C34" s="13">
        <v>344756018.60399663</v>
      </c>
    </row>
    <row r="35" spans="1:3">
      <c r="A35" s="7">
        <v>47270</v>
      </c>
      <c r="B35" s="13">
        <v>7610187.5879538422</v>
      </c>
      <c r="C35" s="13">
        <v>352366206.1919505</v>
      </c>
    </row>
    <row r="36" spans="1:3">
      <c r="A36" s="7">
        <v>47300</v>
      </c>
      <c r="B36" s="13">
        <v>7268884.2215833701</v>
      </c>
      <c r="C36" s="13">
        <v>359635090.41353387</v>
      </c>
    </row>
    <row r="37" spans="1:3">
      <c r="A37" s="7">
        <v>47331</v>
      </c>
      <c r="B37" s="13">
        <v>22461346.484266222</v>
      </c>
      <c r="C37" s="13">
        <v>382096436.89780009</v>
      </c>
    </row>
    <row r="38" spans="1:3">
      <c r="A38" s="7">
        <v>47362</v>
      </c>
      <c r="B38" s="13">
        <v>20082784.530771367</v>
      </c>
      <c r="C38" s="13">
        <v>402179221.42857146</v>
      </c>
    </row>
    <row r="39" spans="1:3">
      <c r="A39" s="7">
        <v>47392</v>
      </c>
      <c r="B39" s="13">
        <v>15745537.992847972</v>
      </c>
      <c r="C39" s="13">
        <v>417924759.42141944</v>
      </c>
    </row>
    <row r="40" spans="1:3">
      <c r="A40" s="7">
        <v>47423</v>
      </c>
      <c r="B40" s="13">
        <v>11716635.269576378</v>
      </c>
      <c r="C40" s="13">
        <v>429641394.69099581</v>
      </c>
    </row>
    <row r="41" spans="1:3">
      <c r="A41" s="7">
        <v>47453</v>
      </c>
      <c r="B41" s="13">
        <v>4603257.9405831657</v>
      </c>
      <c r="C41" s="13">
        <v>434244652.63157898</v>
      </c>
    </row>
    <row r="42" spans="1:3">
      <c r="A42" s="7">
        <v>47484</v>
      </c>
      <c r="B42" s="13">
        <v>3772639.4736842103</v>
      </c>
      <c r="C42" s="13">
        <v>438017292.10526317</v>
      </c>
    </row>
    <row r="43" spans="1:3">
      <c r="A43" s="7">
        <v>47515</v>
      </c>
      <c r="B43" s="13">
        <v>4694642.1052631577</v>
      </c>
      <c r="C43" s="13">
        <v>442711934.21052635</v>
      </c>
    </row>
    <row r="44" spans="1:3">
      <c r="A44" s="7">
        <v>47543</v>
      </c>
      <c r="B44" s="13">
        <v>4297639.4736842103</v>
      </c>
      <c r="C44" s="13">
        <v>447009573.68421054</v>
      </c>
    </row>
    <row r="45" spans="1:3">
      <c r="A45" s="7">
        <v>47574</v>
      </c>
      <c r="B45" s="13">
        <v>1239339.0092879254</v>
      </c>
      <c r="C45" s="13">
        <v>448248912.69349849</v>
      </c>
    </row>
    <row r="46" spans="1:3">
      <c r="A46" s="7">
        <v>47604</v>
      </c>
      <c r="B46" s="13">
        <v>11661223.06501548</v>
      </c>
      <c r="C46" s="13">
        <v>459910135.75851399</v>
      </c>
    </row>
    <row r="47" spans="1:3">
      <c r="A47" s="7">
        <v>47635</v>
      </c>
      <c r="B47" s="13">
        <v>9678348.2972136233</v>
      </c>
      <c r="C47" s="13">
        <v>469588484.0557276</v>
      </c>
    </row>
    <row r="48" spans="1:3">
      <c r="A48" s="7">
        <v>47665</v>
      </c>
      <c r="B48" s="13">
        <v>2664777.4827339845</v>
      </c>
      <c r="C48" s="13">
        <v>472253261.53846157</v>
      </c>
    </row>
    <row r="49" spans="1:3">
      <c r="A49" s="7">
        <v>47696</v>
      </c>
      <c r="B49" s="13">
        <v>3509177.9352226723</v>
      </c>
      <c r="C49" s="13">
        <v>475762439.47368425</v>
      </c>
    </row>
    <row r="50" spans="1:3">
      <c r="A50" s="7">
        <v>47727</v>
      </c>
      <c r="B50" s="13">
        <v>5514589.0688259117</v>
      </c>
      <c r="C50" s="13">
        <v>481277028.54251015</v>
      </c>
    </row>
    <row r="51" spans="1:3">
      <c r="A51" s="7">
        <v>47757</v>
      </c>
      <c r="B51" s="13">
        <v>12774177.935222672</v>
      </c>
      <c r="C51" s="13">
        <v>494051206.47773284</v>
      </c>
    </row>
    <row r="52" spans="1:3">
      <c r="A52" s="7">
        <v>47788</v>
      </c>
      <c r="B52" s="13">
        <v>2378819.8380566798</v>
      </c>
      <c r="C52" s="13">
        <v>496430026.31578952</v>
      </c>
    </row>
    <row r="53" spans="1:3">
      <c r="A53" s="7">
        <v>47818</v>
      </c>
      <c r="B53" s="13">
        <v>3569973.6842105263</v>
      </c>
      <c r="C53" s="13">
        <v>500000000.00000006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9"/>
  <sheetViews>
    <sheetView workbookViewId="0">
      <selection sqref="A1:F1"/>
    </sheetView>
  </sheetViews>
  <sheetFormatPr defaultRowHeight="14.45"/>
  <cols>
    <col min="1" max="1" width="8" customWidth="1"/>
    <col min="2" max="2" width="10" customWidth="1"/>
    <col min="3" max="3" width="28" customWidth="1"/>
    <col min="4" max="4" width="48" customWidth="1"/>
    <col min="5" max="5" width="14" customWidth="1"/>
    <col min="6" max="6" width="12" customWidth="1"/>
    <col min="7" max="9" width="14" customWidth="1"/>
    <col min="10" max="10" width="22" customWidth="1"/>
    <col min="11" max="12" width="18" customWidth="1"/>
    <col min="13" max="13" width="40" customWidth="1"/>
    <col min="14" max="14" width="48" customWidth="1"/>
  </cols>
  <sheetData>
    <row r="1" spans="1:14" ht="18">
      <c r="A1" s="26" t="s">
        <v>393</v>
      </c>
      <c r="B1" s="27"/>
      <c r="C1" s="27"/>
      <c r="D1" s="27"/>
      <c r="E1" s="27"/>
      <c r="F1" s="27"/>
    </row>
    <row r="3" spans="1:14" ht="25.7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8.9">
      <c r="A4" s="3">
        <v>2</v>
      </c>
      <c r="B4" s="3" t="s">
        <v>23</v>
      </c>
      <c r="C4" s="4" t="s">
        <v>24</v>
      </c>
      <c r="D4" s="4" t="s">
        <v>28</v>
      </c>
      <c r="E4" s="3" t="s">
        <v>29</v>
      </c>
      <c r="F4" s="3" t="s">
        <v>30</v>
      </c>
      <c r="G4" s="3">
        <v>240</v>
      </c>
      <c r="H4" s="5">
        <v>12500</v>
      </c>
      <c r="I4" s="5">
        <v>3000000</v>
      </c>
      <c r="J4" s="3" t="s">
        <v>31</v>
      </c>
      <c r="K4" s="3">
        <v>41600</v>
      </c>
      <c r="L4" s="5">
        <v>72.115384615384613</v>
      </c>
      <c r="M4" s="4" t="s">
        <v>21</v>
      </c>
      <c r="N4" s="4" t="s">
        <v>32</v>
      </c>
    </row>
    <row r="5" spans="1:14" ht="28.9">
      <c r="A5" s="3">
        <v>7</v>
      </c>
      <c r="B5" s="3" t="s">
        <v>133</v>
      </c>
      <c r="C5" s="4" t="s">
        <v>134</v>
      </c>
      <c r="D5" s="4" t="s">
        <v>135</v>
      </c>
      <c r="E5" s="3" t="s">
        <v>29</v>
      </c>
      <c r="F5" s="3" t="s">
        <v>128</v>
      </c>
      <c r="G5" s="3">
        <v>150</v>
      </c>
      <c r="H5" s="5">
        <v>80000</v>
      </c>
      <c r="I5" s="5">
        <v>12000000</v>
      </c>
      <c r="J5" s="3" t="s">
        <v>31</v>
      </c>
      <c r="K5" s="3">
        <v>160000</v>
      </c>
      <c r="L5" s="5">
        <v>75</v>
      </c>
      <c r="M5" s="4" t="s">
        <v>26</v>
      </c>
      <c r="N5" s="4" t="s">
        <v>136</v>
      </c>
    </row>
    <row r="6" spans="1:14" ht="28.9">
      <c r="A6" s="3">
        <v>7</v>
      </c>
      <c r="B6" s="3" t="s">
        <v>145</v>
      </c>
      <c r="C6" s="4" t="s">
        <v>146</v>
      </c>
      <c r="D6" s="4" t="s">
        <v>147</v>
      </c>
      <c r="E6" s="3" t="s">
        <v>29</v>
      </c>
      <c r="F6" s="3" t="s">
        <v>128</v>
      </c>
      <c r="G6" s="3">
        <v>150</v>
      </c>
      <c r="H6" s="5">
        <v>50000</v>
      </c>
      <c r="I6" s="5">
        <v>7500000</v>
      </c>
      <c r="J6" s="3" t="s">
        <v>31</v>
      </c>
      <c r="K6" s="3">
        <v>100000</v>
      </c>
      <c r="L6" s="5">
        <v>75</v>
      </c>
      <c r="M6" s="4" t="s">
        <v>148</v>
      </c>
      <c r="N6" s="4" t="s">
        <v>149</v>
      </c>
    </row>
    <row r="7" spans="1:14" ht="28.9">
      <c r="A7" s="3">
        <v>8</v>
      </c>
      <c r="B7" s="3" t="s">
        <v>163</v>
      </c>
      <c r="C7" s="4" t="s">
        <v>164</v>
      </c>
      <c r="D7" s="4" t="s">
        <v>165</v>
      </c>
      <c r="E7" s="3" t="s">
        <v>29</v>
      </c>
      <c r="F7" s="3" t="s">
        <v>128</v>
      </c>
      <c r="G7" s="3">
        <v>150</v>
      </c>
      <c r="H7" s="5">
        <v>25000</v>
      </c>
      <c r="I7" s="5">
        <v>3750000</v>
      </c>
      <c r="J7" s="3" t="s">
        <v>31</v>
      </c>
      <c r="K7" s="3">
        <v>50000</v>
      </c>
      <c r="L7" s="5">
        <v>75</v>
      </c>
      <c r="M7" s="4" t="s">
        <v>166</v>
      </c>
      <c r="N7" s="3" t="s">
        <v>167</v>
      </c>
    </row>
    <row r="8" spans="1:14" ht="28.9">
      <c r="A8" s="3">
        <v>8</v>
      </c>
      <c r="B8" s="3" t="s">
        <v>171</v>
      </c>
      <c r="C8" s="4" t="s">
        <v>172</v>
      </c>
      <c r="D8" s="4" t="s">
        <v>173</v>
      </c>
      <c r="E8" s="3" t="s">
        <v>29</v>
      </c>
      <c r="F8" s="3" t="s">
        <v>128</v>
      </c>
      <c r="G8" s="3">
        <v>150</v>
      </c>
      <c r="H8" s="5">
        <v>18000</v>
      </c>
      <c r="I8" s="5">
        <v>2700000</v>
      </c>
      <c r="J8" s="3" t="s">
        <v>31</v>
      </c>
      <c r="K8" s="3">
        <v>36000</v>
      </c>
      <c r="L8" s="5">
        <v>75</v>
      </c>
      <c r="M8" s="4" t="s">
        <v>166</v>
      </c>
      <c r="N8" s="3"/>
    </row>
    <row r="9" spans="1:14" ht="28.9">
      <c r="A9" s="3">
        <v>8</v>
      </c>
      <c r="B9" s="3" t="s">
        <v>177</v>
      </c>
      <c r="C9" s="4" t="s">
        <v>178</v>
      </c>
      <c r="D9" s="4" t="s">
        <v>181</v>
      </c>
      <c r="E9" s="3" t="s">
        <v>29</v>
      </c>
      <c r="F9" s="3" t="s">
        <v>140</v>
      </c>
      <c r="G9" s="3">
        <v>50</v>
      </c>
      <c r="H9" s="5">
        <v>30000</v>
      </c>
      <c r="I9" s="5">
        <v>1500000</v>
      </c>
      <c r="J9" s="3" t="s">
        <v>31</v>
      </c>
      <c r="K9" s="3">
        <v>20000</v>
      </c>
      <c r="L9" s="5">
        <v>75</v>
      </c>
      <c r="M9" s="4" t="s">
        <v>166</v>
      </c>
      <c r="N9" s="3"/>
    </row>
    <row r="10" spans="1:14" ht="28.9">
      <c r="A10" s="3">
        <v>8</v>
      </c>
      <c r="B10" s="3" t="s">
        <v>182</v>
      </c>
      <c r="C10" s="4" t="s">
        <v>183</v>
      </c>
      <c r="D10" s="4" t="s">
        <v>184</v>
      </c>
      <c r="E10" s="3" t="s">
        <v>29</v>
      </c>
      <c r="F10" s="3" t="s">
        <v>128</v>
      </c>
      <c r="G10" s="3">
        <v>150</v>
      </c>
      <c r="H10" s="5">
        <v>60000</v>
      </c>
      <c r="I10" s="5">
        <v>9000000</v>
      </c>
      <c r="J10" s="3" t="s">
        <v>31</v>
      </c>
      <c r="K10" s="3">
        <v>105882.3529411765</v>
      </c>
      <c r="L10" s="5">
        <v>85</v>
      </c>
      <c r="M10" s="4" t="s">
        <v>166</v>
      </c>
      <c r="N10" s="3"/>
    </row>
    <row r="11" spans="1:14" ht="28.9">
      <c r="A11" s="3">
        <v>8</v>
      </c>
      <c r="B11" s="3" t="s">
        <v>192</v>
      </c>
      <c r="C11" s="4" t="s">
        <v>193</v>
      </c>
      <c r="D11" s="4" t="s">
        <v>194</v>
      </c>
      <c r="E11" s="3" t="s">
        <v>29</v>
      </c>
      <c r="F11" s="3" t="s">
        <v>19</v>
      </c>
      <c r="G11" s="3">
        <v>1</v>
      </c>
      <c r="H11" s="5">
        <v>5000000</v>
      </c>
      <c r="I11" s="5">
        <v>5000000</v>
      </c>
      <c r="J11" s="3" t="s">
        <v>20</v>
      </c>
      <c r="K11" s="3">
        <v>58823.529411764714</v>
      </c>
      <c r="L11" s="5">
        <v>85</v>
      </c>
      <c r="M11" s="4" t="s">
        <v>166</v>
      </c>
      <c r="N11" s="3"/>
    </row>
    <row r="12" spans="1:14" ht="28.9">
      <c r="A12" s="3">
        <v>8</v>
      </c>
      <c r="B12" s="3" t="s">
        <v>202</v>
      </c>
      <c r="C12" s="4" t="s">
        <v>203</v>
      </c>
      <c r="D12" s="4" t="s">
        <v>207</v>
      </c>
      <c r="E12" s="3" t="s">
        <v>29</v>
      </c>
      <c r="F12" s="3" t="s">
        <v>205</v>
      </c>
      <c r="G12" s="3">
        <v>600000</v>
      </c>
      <c r="H12" s="5">
        <v>33.33</v>
      </c>
      <c r="I12" s="5">
        <v>19998000</v>
      </c>
      <c r="J12" s="3" t="s">
        <v>31</v>
      </c>
      <c r="K12" s="3">
        <v>249975</v>
      </c>
      <c r="L12" s="5">
        <v>80</v>
      </c>
      <c r="M12" s="4" t="s">
        <v>166</v>
      </c>
      <c r="N12" s="4" t="s">
        <v>208</v>
      </c>
    </row>
    <row r="13" spans="1:14" ht="28.9">
      <c r="A13" s="3">
        <v>9</v>
      </c>
      <c r="B13" s="3" t="s">
        <v>228</v>
      </c>
      <c r="C13" s="4" t="s">
        <v>229</v>
      </c>
      <c r="D13" s="4" t="s">
        <v>230</v>
      </c>
      <c r="E13" s="3" t="s">
        <v>29</v>
      </c>
      <c r="F13" s="3" t="s">
        <v>19</v>
      </c>
      <c r="G13" s="3">
        <v>1</v>
      </c>
      <c r="H13" s="5">
        <v>1500000</v>
      </c>
      <c r="I13" s="5">
        <v>1500000</v>
      </c>
      <c r="J13" s="3" t="s">
        <v>20</v>
      </c>
      <c r="K13" s="3">
        <v>20798.66888519135</v>
      </c>
      <c r="L13" s="5">
        <v>72.12</v>
      </c>
      <c r="M13" s="4" t="s">
        <v>26</v>
      </c>
      <c r="N13" s="3"/>
    </row>
    <row r="14" spans="1:14" ht="28.9">
      <c r="A14" s="3">
        <v>9</v>
      </c>
      <c r="B14" s="3" t="s">
        <v>231</v>
      </c>
      <c r="C14" s="4" t="s">
        <v>232</v>
      </c>
      <c r="D14" s="4" t="s">
        <v>233</v>
      </c>
      <c r="E14" s="3" t="s">
        <v>29</v>
      </c>
      <c r="F14" s="3" t="s">
        <v>19</v>
      </c>
      <c r="G14" s="3">
        <v>1</v>
      </c>
      <c r="H14" s="5">
        <v>750000</v>
      </c>
      <c r="I14" s="5">
        <v>750000</v>
      </c>
      <c r="J14" s="3" t="s">
        <v>20</v>
      </c>
      <c r="K14" s="3">
        <v>7894.7368421052633</v>
      </c>
      <c r="L14" s="5">
        <v>95</v>
      </c>
      <c r="M14" s="4" t="s">
        <v>26</v>
      </c>
      <c r="N14" s="3"/>
    </row>
    <row r="15" spans="1:14" ht="28.9">
      <c r="A15" s="3">
        <v>9</v>
      </c>
      <c r="B15" s="3" t="s">
        <v>234</v>
      </c>
      <c r="C15" s="4" t="s">
        <v>235</v>
      </c>
      <c r="D15" s="4" t="s">
        <v>236</v>
      </c>
      <c r="E15" s="3" t="s">
        <v>29</v>
      </c>
      <c r="F15" s="3" t="s">
        <v>19</v>
      </c>
      <c r="G15" s="3">
        <v>1</v>
      </c>
      <c r="H15" s="5">
        <v>750000</v>
      </c>
      <c r="I15" s="5">
        <v>750000</v>
      </c>
      <c r="J15" s="3" t="s">
        <v>20</v>
      </c>
      <c r="K15" s="3">
        <v>10000</v>
      </c>
      <c r="L15" s="5">
        <v>75</v>
      </c>
      <c r="M15" s="4" t="s">
        <v>26</v>
      </c>
      <c r="N15" s="3"/>
    </row>
    <row r="16" spans="1:14" ht="28.9">
      <c r="A16" s="3">
        <v>10</v>
      </c>
      <c r="B16" s="3" t="s">
        <v>237</v>
      </c>
      <c r="C16" s="4" t="s">
        <v>238</v>
      </c>
      <c r="D16" s="4" t="s">
        <v>239</v>
      </c>
      <c r="E16" s="3" t="s">
        <v>29</v>
      </c>
      <c r="F16" s="3" t="s">
        <v>19</v>
      </c>
      <c r="G16" s="3">
        <v>1</v>
      </c>
      <c r="H16" s="5">
        <v>800000</v>
      </c>
      <c r="I16" s="5">
        <v>800000</v>
      </c>
      <c r="J16" s="3" t="s">
        <v>20</v>
      </c>
      <c r="K16" s="3">
        <v>9411.7647058823532</v>
      </c>
      <c r="L16" s="5">
        <v>85</v>
      </c>
      <c r="M16" s="4" t="s">
        <v>26</v>
      </c>
      <c r="N16" s="3"/>
    </row>
    <row r="17" spans="1:14" ht="28.9">
      <c r="A17" s="3">
        <v>10</v>
      </c>
      <c r="B17" s="3" t="s">
        <v>240</v>
      </c>
      <c r="C17" s="4" t="s">
        <v>241</v>
      </c>
      <c r="D17" s="4" t="s">
        <v>242</v>
      </c>
      <c r="E17" s="3" t="s">
        <v>29</v>
      </c>
      <c r="F17" s="3" t="s">
        <v>19</v>
      </c>
      <c r="G17" s="3">
        <v>1</v>
      </c>
      <c r="H17" s="5">
        <v>900000</v>
      </c>
      <c r="I17" s="5">
        <v>900000</v>
      </c>
      <c r="J17" s="3" t="s">
        <v>20</v>
      </c>
      <c r="K17" s="3">
        <v>12000</v>
      </c>
      <c r="L17" s="5">
        <v>75</v>
      </c>
      <c r="M17" s="4" t="s">
        <v>26</v>
      </c>
      <c r="N17" s="3"/>
    </row>
    <row r="18" spans="1:14" ht="28.9">
      <c r="A18" s="3">
        <v>10</v>
      </c>
      <c r="B18" s="3" t="s">
        <v>243</v>
      </c>
      <c r="C18" s="4" t="s">
        <v>244</v>
      </c>
      <c r="D18" s="4" t="s">
        <v>245</v>
      </c>
      <c r="E18" s="3" t="s">
        <v>29</v>
      </c>
      <c r="F18" s="3" t="s">
        <v>19</v>
      </c>
      <c r="G18" s="3">
        <v>1</v>
      </c>
      <c r="H18" s="5">
        <v>2000000</v>
      </c>
      <c r="I18" s="5">
        <v>2000000</v>
      </c>
      <c r="J18" s="3" t="s">
        <v>20</v>
      </c>
      <c r="K18" s="3">
        <v>23529.411764705881</v>
      </c>
      <c r="L18" s="5">
        <v>85</v>
      </c>
      <c r="M18" s="4" t="s">
        <v>78</v>
      </c>
      <c r="N18" s="3"/>
    </row>
    <row r="19" spans="1:14" ht="28.9">
      <c r="A19" s="3">
        <v>10</v>
      </c>
      <c r="B19" s="3" t="s">
        <v>246</v>
      </c>
      <c r="C19" s="4" t="s">
        <v>247</v>
      </c>
      <c r="D19" s="4" t="s">
        <v>248</v>
      </c>
      <c r="E19" s="3" t="s">
        <v>29</v>
      </c>
      <c r="F19" s="3" t="s">
        <v>19</v>
      </c>
      <c r="G19" s="3">
        <v>1</v>
      </c>
      <c r="H19" s="5">
        <v>600000</v>
      </c>
      <c r="I19" s="5">
        <v>600000</v>
      </c>
      <c r="J19" s="3" t="s">
        <v>20</v>
      </c>
      <c r="K19" s="3">
        <v>6315.7894736842109</v>
      </c>
      <c r="L19" s="5">
        <v>95</v>
      </c>
      <c r="M19" s="4" t="s">
        <v>26</v>
      </c>
      <c r="N19" s="3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8"/>
  <sheetViews>
    <sheetView showGridLines="0" workbookViewId="0">
      <selection sqref="A1:C1"/>
    </sheetView>
  </sheetViews>
  <sheetFormatPr defaultRowHeight="14.45"/>
  <cols>
    <col min="1" max="1" width="52" customWidth="1"/>
    <col min="2" max="2" width="48" customWidth="1"/>
    <col min="3" max="3" width="55" customWidth="1"/>
  </cols>
  <sheetData>
    <row r="1" spans="1:3" ht="18">
      <c r="A1" s="26" t="s">
        <v>394</v>
      </c>
      <c r="B1" s="27"/>
      <c r="C1" s="27"/>
    </row>
    <row r="3" spans="1:3" ht="31.9" customHeight="1">
      <c r="A3" s="1" t="s">
        <v>4</v>
      </c>
      <c r="B3" s="1" t="s">
        <v>13</v>
      </c>
      <c r="C3" s="1" t="s">
        <v>14</v>
      </c>
    </row>
    <row r="4" spans="1:3" ht="28.9">
      <c r="A4" s="4" t="s">
        <v>17</v>
      </c>
      <c r="B4" s="4" t="s">
        <v>21</v>
      </c>
      <c r="C4" s="4" t="s">
        <v>22</v>
      </c>
    </row>
    <row r="5" spans="1:3" ht="28.9">
      <c r="A5" s="4" t="s">
        <v>25</v>
      </c>
      <c r="B5" s="4" t="s">
        <v>26</v>
      </c>
      <c r="C5" s="4" t="s">
        <v>27</v>
      </c>
    </row>
    <row r="6" spans="1:3" ht="28.9">
      <c r="A6" s="4" t="s">
        <v>277</v>
      </c>
      <c r="B6" s="4" t="s">
        <v>395</v>
      </c>
      <c r="C6" s="4" t="s">
        <v>396</v>
      </c>
    </row>
    <row r="7" spans="1:3" ht="28.9">
      <c r="A7" s="4" t="s">
        <v>278</v>
      </c>
      <c r="B7" s="4" t="s">
        <v>395</v>
      </c>
      <c r="C7" s="4" t="s">
        <v>397</v>
      </c>
    </row>
    <row r="8" spans="1:3" ht="28.9">
      <c r="A8" s="4" t="s">
        <v>37</v>
      </c>
      <c r="B8" s="4" t="s">
        <v>26</v>
      </c>
      <c r="C8" s="3" t="s">
        <v>38</v>
      </c>
    </row>
    <row r="9" spans="1:3" ht="28.9">
      <c r="A9" s="4" t="s">
        <v>41</v>
      </c>
      <c r="B9" s="4" t="s">
        <v>44</v>
      </c>
      <c r="C9" s="4" t="s">
        <v>45</v>
      </c>
    </row>
    <row r="10" spans="1:3">
      <c r="A10" s="4" t="s">
        <v>48</v>
      </c>
      <c r="B10" s="4" t="s">
        <v>49</v>
      </c>
      <c r="C10" s="4" t="s">
        <v>50</v>
      </c>
    </row>
    <row r="11" spans="1:3" ht="28.9">
      <c r="A11" s="4" t="s">
        <v>53</v>
      </c>
      <c r="B11" s="4" t="s">
        <v>26</v>
      </c>
      <c r="C11" s="3"/>
    </row>
    <row r="12" spans="1:3" ht="28.9">
      <c r="A12" s="4" t="s">
        <v>56</v>
      </c>
      <c r="B12" s="4" t="s">
        <v>26</v>
      </c>
      <c r="C12" s="3"/>
    </row>
    <row r="13" spans="1:3" ht="28.9">
      <c r="A13" s="4" t="s">
        <v>59</v>
      </c>
      <c r="B13" s="4" t="s">
        <v>26</v>
      </c>
      <c r="C13" s="3"/>
    </row>
    <row r="14" spans="1:3" ht="28.9">
      <c r="A14" s="4" t="s">
        <v>62</v>
      </c>
      <c r="B14" s="4" t="s">
        <v>26</v>
      </c>
      <c r="C14" s="3"/>
    </row>
    <row r="15" spans="1:3" ht="28.9">
      <c r="A15" s="4" t="s">
        <v>65</v>
      </c>
      <c r="B15" s="4" t="s">
        <v>26</v>
      </c>
      <c r="C15" s="3"/>
    </row>
    <row r="16" spans="1:3" ht="28.9">
      <c r="A16" s="4" t="s">
        <v>68</v>
      </c>
      <c r="B16" s="4" t="s">
        <v>26</v>
      </c>
      <c r="C16" s="3"/>
    </row>
    <row r="17" spans="1:3" ht="28.9">
      <c r="A17" s="4" t="s">
        <v>71</v>
      </c>
      <c r="B17" s="4" t="s">
        <v>26</v>
      </c>
      <c r="C17" s="3"/>
    </row>
    <row r="18" spans="1:3" ht="28.9">
      <c r="A18" s="4" t="s">
        <v>74</v>
      </c>
      <c r="B18" s="4" t="s">
        <v>26</v>
      </c>
      <c r="C18" s="3"/>
    </row>
    <row r="19" spans="1:3">
      <c r="A19" s="4" t="s">
        <v>77</v>
      </c>
      <c r="B19" s="4" t="s">
        <v>78</v>
      </c>
      <c r="C19" s="3"/>
    </row>
    <row r="20" spans="1:3" ht="28.9">
      <c r="A20" s="4" t="s">
        <v>81</v>
      </c>
      <c r="B20" s="4" t="s">
        <v>26</v>
      </c>
      <c r="C20" s="3"/>
    </row>
    <row r="21" spans="1:3" ht="28.9">
      <c r="A21" s="4" t="s">
        <v>84</v>
      </c>
      <c r="B21" s="4" t="s">
        <v>26</v>
      </c>
      <c r="C21" s="3"/>
    </row>
    <row r="22" spans="1:3" ht="28.9">
      <c r="A22" s="4" t="s">
        <v>87</v>
      </c>
      <c r="B22" s="4" t="s">
        <v>26</v>
      </c>
      <c r="C22" s="3"/>
    </row>
    <row r="23" spans="1:3" ht="28.9">
      <c r="A23" s="4" t="s">
        <v>90</v>
      </c>
      <c r="B23" s="4" t="s">
        <v>26</v>
      </c>
      <c r="C23" s="3"/>
    </row>
    <row r="24" spans="1:3" ht="28.9">
      <c r="A24" s="4" t="s">
        <v>93</v>
      </c>
      <c r="B24" s="4" t="s">
        <v>26</v>
      </c>
      <c r="C24" s="3"/>
    </row>
    <row r="25" spans="1:3" ht="28.9">
      <c r="A25" s="4" t="s">
        <v>96</v>
      </c>
      <c r="B25" s="4" t="s">
        <v>26</v>
      </c>
      <c r="C25" s="3"/>
    </row>
    <row r="26" spans="1:3" ht="28.9">
      <c r="A26" s="4" t="s">
        <v>99</v>
      </c>
      <c r="B26" s="4" t="s">
        <v>26</v>
      </c>
      <c r="C26" s="3"/>
    </row>
    <row r="27" spans="1:3" ht="28.9">
      <c r="A27" s="4" t="s">
        <v>102</v>
      </c>
      <c r="B27" s="4" t="s">
        <v>26</v>
      </c>
      <c r="C27" s="3"/>
    </row>
    <row r="28" spans="1:3" ht="28.9">
      <c r="A28" s="4" t="s">
        <v>105</v>
      </c>
      <c r="B28" s="4" t="s">
        <v>26</v>
      </c>
      <c r="C28" s="3"/>
    </row>
    <row r="29" spans="1:3" ht="28.9">
      <c r="A29" s="4" t="s">
        <v>108</v>
      </c>
      <c r="B29" s="4" t="s">
        <v>26</v>
      </c>
      <c r="C29" s="4" t="s">
        <v>109</v>
      </c>
    </row>
    <row r="30" spans="1:3">
      <c r="A30" s="4" t="s">
        <v>112</v>
      </c>
      <c r="B30" s="4" t="s">
        <v>78</v>
      </c>
      <c r="C30" s="4" t="s">
        <v>109</v>
      </c>
    </row>
    <row r="31" spans="1:3" ht="28.9">
      <c r="A31" s="4" t="s">
        <v>115</v>
      </c>
      <c r="B31" s="4" t="s">
        <v>26</v>
      </c>
      <c r="C31" s="3"/>
    </row>
    <row r="32" spans="1:3" ht="28.9">
      <c r="A32" s="4" t="s">
        <v>119</v>
      </c>
      <c r="B32" s="4" t="s">
        <v>26</v>
      </c>
      <c r="C32" s="3"/>
    </row>
    <row r="33" spans="1:3" ht="28.9">
      <c r="A33" s="3" t="s">
        <v>122</v>
      </c>
      <c r="B33" s="4" t="s">
        <v>26</v>
      </c>
      <c r="C33" s="4" t="s">
        <v>124</v>
      </c>
    </row>
    <row r="34" spans="1:3" ht="28.9">
      <c r="A34" s="4" t="s">
        <v>127</v>
      </c>
      <c r="B34" s="4" t="s">
        <v>26</v>
      </c>
      <c r="C34" s="3" t="s">
        <v>129</v>
      </c>
    </row>
    <row r="35" spans="1:3" ht="28.9">
      <c r="A35" s="4" t="s">
        <v>132</v>
      </c>
      <c r="B35" s="4" t="s">
        <v>26</v>
      </c>
      <c r="C35" s="3" t="s">
        <v>129</v>
      </c>
    </row>
    <row r="36" spans="1:3" ht="28.9">
      <c r="A36" s="4" t="s">
        <v>135</v>
      </c>
      <c r="B36" s="4" t="s">
        <v>26</v>
      </c>
      <c r="C36" s="4" t="s">
        <v>136</v>
      </c>
    </row>
    <row r="37" spans="1:3" ht="28.9">
      <c r="A37" s="4" t="s">
        <v>139</v>
      </c>
      <c r="B37" s="4" t="s">
        <v>26</v>
      </c>
      <c r="C37" s="4" t="s">
        <v>141</v>
      </c>
    </row>
    <row r="38" spans="1:3" ht="28.9">
      <c r="A38" s="4" t="s">
        <v>144</v>
      </c>
      <c r="B38" s="4" t="s">
        <v>26</v>
      </c>
      <c r="C38" s="3"/>
    </row>
    <row r="39" spans="1:3" ht="28.9">
      <c r="A39" s="4" t="s">
        <v>147</v>
      </c>
      <c r="B39" s="4" t="s">
        <v>148</v>
      </c>
      <c r="C39" s="4" t="s">
        <v>149</v>
      </c>
    </row>
    <row r="40" spans="1:3" ht="28.9">
      <c r="A40" s="4" t="s">
        <v>152</v>
      </c>
      <c r="B40" s="4" t="s">
        <v>26</v>
      </c>
      <c r="C40" s="4" t="s">
        <v>154</v>
      </c>
    </row>
    <row r="41" spans="1:3" ht="28.9">
      <c r="A41" s="4" t="s">
        <v>157</v>
      </c>
      <c r="B41" s="4" t="s">
        <v>26</v>
      </c>
      <c r="C41" s="3"/>
    </row>
    <row r="42" spans="1:3">
      <c r="A42" s="4" t="s">
        <v>160</v>
      </c>
      <c r="B42" s="4" t="s">
        <v>161</v>
      </c>
      <c r="C42" s="4" t="s">
        <v>162</v>
      </c>
    </row>
    <row r="43" spans="1:3" ht="28.9">
      <c r="A43" s="4" t="s">
        <v>165</v>
      </c>
      <c r="B43" s="4" t="s">
        <v>166</v>
      </c>
      <c r="C43" s="3" t="s">
        <v>167</v>
      </c>
    </row>
    <row r="44" spans="1:3" ht="28.9">
      <c r="A44" s="4" t="s">
        <v>168</v>
      </c>
      <c r="B44" s="4" t="s">
        <v>161</v>
      </c>
      <c r="C44" s="4" t="s">
        <v>170</v>
      </c>
    </row>
    <row r="45" spans="1:3" ht="28.9">
      <c r="A45" s="4" t="s">
        <v>173</v>
      </c>
      <c r="B45" s="4" t="s">
        <v>166</v>
      </c>
      <c r="C45" s="3"/>
    </row>
    <row r="46" spans="1:3">
      <c r="A46" s="4" t="s">
        <v>176</v>
      </c>
      <c r="B46" s="4" t="s">
        <v>161</v>
      </c>
      <c r="C46" s="3"/>
    </row>
    <row r="47" spans="1:3">
      <c r="A47" s="4" t="s">
        <v>179</v>
      </c>
      <c r="B47" s="4" t="s">
        <v>161</v>
      </c>
      <c r="C47" s="4" t="s">
        <v>180</v>
      </c>
    </row>
    <row r="48" spans="1:3" ht="28.9">
      <c r="A48" s="4" t="s">
        <v>181</v>
      </c>
      <c r="B48" s="4" t="s">
        <v>166</v>
      </c>
      <c r="C48" s="3"/>
    </row>
    <row r="49" spans="1:3" ht="28.9">
      <c r="A49" s="4" t="s">
        <v>184</v>
      </c>
      <c r="B49" s="4" t="s">
        <v>166</v>
      </c>
      <c r="C49" s="3"/>
    </row>
    <row r="50" spans="1:3">
      <c r="A50" s="4" t="s">
        <v>185</v>
      </c>
      <c r="B50" s="4" t="s">
        <v>161</v>
      </c>
      <c r="C50" s="3"/>
    </row>
    <row r="51" spans="1:3" ht="28.9">
      <c r="A51" s="4" t="s">
        <v>188</v>
      </c>
      <c r="B51" s="4" t="s">
        <v>161</v>
      </c>
      <c r="C51" s="3"/>
    </row>
    <row r="52" spans="1:3">
      <c r="A52" s="4" t="s">
        <v>191</v>
      </c>
      <c r="B52" s="4" t="s">
        <v>161</v>
      </c>
      <c r="C52" s="3"/>
    </row>
    <row r="53" spans="1:3" ht="28.9">
      <c r="A53" s="4" t="s">
        <v>194</v>
      </c>
      <c r="B53" s="4" t="s">
        <v>166</v>
      </c>
      <c r="C53" s="3"/>
    </row>
    <row r="54" spans="1:3">
      <c r="A54" s="4" t="s">
        <v>195</v>
      </c>
      <c r="B54" s="4" t="s">
        <v>161</v>
      </c>
      <c r="C54" s="3"/>
    </row>
    <row r="55" spans="1:3">
      <c r="A55" s="4" t="s">
        <v>198</v>
      </c>
      <c r="B55" s="4" t="s">
        <v>161</v>
      </c>
      <c r="C55" s="3"/>
    </row>
    <row r="56" spans="1:3" ht="28.9">
      <c r="A56" s="4" t="s">
        <v>201</v>
      </c>
      <c r="B56" s="4" t="s">
        <v>26</v>
      </c>
      <c r="C56" s="3"/>
    </row>
    <row r="57" spans="1:3">
      <c r="A57" s="4" t="s">
        <v>204</v>
      </c>
      <c r="B57" s="4" t="s">
        <v>78</v>
      </c>
      <c r="C57" s="4" t="s">
        <v>206</v>
      </c>
    </row>
    <row r="58" spans="1:3" ht="28.9">
      <c r="A58" s="4" t="s">
        <v>207</v>
      </c>
      <c r="B58" s="4" t="s">
        <v>166</v>
      </c>
      <c r="C58" s="4" t="s">
        <v>208</v>
      </c>
    </row>
    <row r="59" spans="1:3">
      <c r="A59" s="4" t="s">
        <v>211</v>
      </c>
      <c r="B59" s="4" t="s">
        <v>78</v>
      </c>
      <c r="C59" s="3"/>
    </row>
    <row r="60" spans="1:3">
      <c r="A60" s="4" t="s">
        <v>214</v>
      </c>
      <c r="B60" s="4" t="s">
        <v>78</v>
      </c>
      <c r="C60" s="3"/>
    </row>
    <row r="61" spans="1:3">
      <c r="A61" s="4" t="s">
        <v>218</v>
      </c>
      <c r="B61" s="4" t="s">
        <v>78</v>
      </c>
      <c r="C61" s="3"/>
    </row>
    <row r="62" spans="1:3" ht="28.9">
      <c r="A62" s="4" t="s">
        <v>221</v>
      </c>
      <c r="B62" s="4" t="s">
        <v>78</v>
      </c>
      <c r="C62" s="3"/>
    </row>
    <row r="63" spans="1:3" ht="28.9">
      <c r="A63" s="4" t="s">
        <v>224</v>
      </c>
      <c r="B63" s="4" t="s">
        <v>26</v>
      </c>
      <c r="C63" s="3"/>
    </row>
    <row r="64" spans="1:3" ht="28.9">
      <c r="A64" s="4" t="s">
        <v>227</v>
      </c>
      <c r="B64" s="4" t="s">
        <v>26</v>
      </c>
      <c r="C64" s="3"/>
    </row>
    <row r="65" spans="1:3" ht="28.9">
      <c r="A65" s="4" t="s">
        <v>230</v>
      </c>
      <c r="B65" s="4" t="s">
        <v>26</v>
      </c>
      <c r="C65" s="3"/>
    </row>
    <row r="66" spans="1:3" ht="28.9">
      <c r="A66" s="4" t="s">
        <v>233</v>
      </c>
      <c r="B66" s="4" t="s">
        <v>26</v>
      </c>
      <c r="C66" s="3"/>
    </row>
    <row r="67" spans="1:3" ht="28.9">
      <c r="A67" s="4" t="s">
        <v>236</v>
      </c>
      <c r="B67" s="4" t="s">
        <v>26</v>
      </c>
      <c r="C67" s="3"/>
    </row>
    <row r="68" spans="1:3" ht="28.9">
      <c r="A68" s="4" t="s">
        <v>239</v>
      </c>
      <c r="B68" s="4" t="s">
        <v>26</v>
      </c>
      <c r="C68" s="3"/>
    </row>
    <row r="69" spans="1:3" ht="28.9">
      <c r="A69" s="4" t="s">
        <v>242</v>
      </c>
      <c r="B69" s="4" t="s">
        <v>26</v>
      </c>
      <c r="C69" s="3"/>
    </row>
    <row r="70" spans="1:3">
      <c r="A70" s="4" t="s">
        <v>245</v>
      </c>
      <c r="B70" s="4" t="s">
        <v>78</v>
      </c>
      <c r="C70" s="3"/>
    </row>
    <row r="71" spans="1:3" ht="28.9">
      <c r="A71" s="4" t="s">
        <v>248</v>
      </c>
      <c r="B71" s="4" t="s">
        <v>26</v>
      </c>
      <c r="C71" s="3"/>
    </row>
    <row r="72" spans="1:3" ht="28.9">
      <c r="A72" s="4" t="s">
        <v>251</v>
      </c>
      <c r="B72" s="4" t="s">
        <v>26</v>
      </c>
      <c r="C72" s="3"/>
    </row>
    <row r="73" spans="1:3" ht="28.9">
      <c r="A73" s="4" t="s">
        <v>252</v>
      </c>
      <c r="B73" s="4" t="s">
        <v>26</v>
      </c>
      <c r="C73" s="4" t="s">
        <v>253</v>
      </c>
    </row>
    <row r="74" spans="1:3" ht="28.9">
      <c r="A74" s="4" t="s">
        <v>256</v>
      </c>
      <c r="B74" s="4" t="s">
        <v>26</v>
      </c>
      <c r="C74" s="3"/>
    </row>
    <row r="75" spans="1:3" ht="28.9">
      <c r="A75" s="4" t="s">
        <v>259</v>
      </c>
      <c r="B75" s="4" t="s">
        <v>26</v>
      </c>
      <c r="C75" s="3"/>
    </row>
    <row r="76" spans="1:3" ht="28.9">
      <c r="A76" s="4" t="s">
        <v>262</v>
      </c>
      <c r="B76" s="4" t="s">
        <v>26</v>
      </c>
      <c r="C76" s="3"/>
    </row>
    <row r="77" spans="1:3" ht="28.9">
      <c r="A77" s="4" t="s">
        <v>265</v>
      </c>
      <c r="B77" s="4" t="s">
        <v>26</v>
      </c>
      <c r="C77" s="3"/>
    </row>
    <row r="78" spans="1:3" ht="28.9">
      <c r="A78" s="4" t="s">
        <v>266</v>
      </c>
      <c r="B78" s="4" t="s">
        <v>26</v>
      </c>
      <c r="C78" s="3"/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"/>
  <sheetViews>
    <sheetView showGridLines="0" workbookViewId="0">
      <selection sqref="A1:D1"/>
    </sheetView>
  </sheetViews>
  <sheetFormatPr defaultRowHeight="14.45"/>
  <cols>
    <col min="1" max="1" width="34" customWidth="1"/>
    <col min="2" max="2" width="24" customWidth="1"/>
    <col min="3" max="3" width="50" customWidth="1"/>
    <col min="4" max="4" width="56" customWidth="1"/>
  </cols>
  <sheetData>
    <row r="1" spans="1:4" ht="24" customHeight="1">
      <c r="A1" s="20" t="s">
        <v>398</v>
      </c>
      <c r="B1" s="21"/>
      <c r="C1" s="21"/>
      <c r="D1" s="22"/>
    </row>
    <row r="2" spans="1:4" ht="31.9" customHeight="1">
      <c r="A2" s="23" t="s">
        <v>399</v>
      </c>
      <c r="B2" s="24"/>
      <c r="C2" s="24"/>
      <c r="D2" s="25"/>
    </row>
    <row r="3" spans="1:4">
      <c r="A3" s="8"/>
      <c r="B3" s="8"/>
      <c r="C3" s="8"/>
      <c r="D3" s="8"/>
    </row>
    <row r="4" spans="1:4">
      <c r="A4" s="19" t="s">
        <v>400</v>
      </c>
      <c r="B4" s="19" t="s">
        <v>401</v>
      </c>
      <c r="C4" s="19" t="s">
        <v>402</v>
      </c>
      <c r="D4" s="19" t="s">
        <v>14</v>
      </c>
    </row>
    <row r="5" spans="1:4" ht="15" customHeight="1">
      <c r="A5" s="15" t="s">
        <v>403</v>
      </c>
      <c r="B5" s="17">
        <v>500000000</v>
      </c>
      <c r="C5" s="16" t="s">
        <v>404</v>
      </c>
      <c r="D5" s="16" t="s">
        <v>405</v>
      </c>
    </row>
    <row r="6" spans="1:4" ht="26.85" customHeight="1">
      <c r="A6" s="15" t="s">
        <v>406</v>
      </c>
      <c r="B6" s="17">
        <v>473148000</v>
      </c>
      <c r="C6" s="16" t="s">
        <v>407</v>
      </c>
      <c r="D6" s="16" t="s">
        <v>408</v>
      </c>
    </row>
    <row r="7" spans="1:4" ht="26.85" customHeight="1">
      <c r="A7" s="15" t="s">
        <v>409</v>
      </c>
      <c r="B7" s="17">
        <f>B5-B6</f>
        <v>26852000</v>
      </c>
      <c r="C7" s="16" t="s">
        <v>410</v>
      </c>
      <c r="D7" s="16" t="s">
        <v>411</v>
      </c>
    </row>
    <row r="8" spans="1:4" ht="15" customHeight="1">
      <c r="A8" s="15" t="s">
        <v>412</v>
      </c>
      <c r="B8" s="18">
        <f>B7/B6</f>
        <v>5.6751798591561202E-2</v>
      </c>
      <c r="C8" s="16" t="s">
        <v>413</v>
      </c>
      <c r="D8" s="16" t="s">
        <v>414</v>
      </c>
    </row>
    <row r="9" spans="1:4" ht="15" customHeight="1">
      <c r="A9" s="15" t="s">
        <v>415</v>
      </c>
      <c r="B9" s="17">
        <v>70972200</v>
      </c>
      <c r="C9" s="16" t="s">
        <v>416</v>
      </c>
      <c r="D9" s="16" t="s">
        <v>417</v>
      </c>
    </row>
    <row r="10" spans="1:4" ht="15" customHeight="1">
      <c r="A10" s="15" t="s">
        <v>418</v>
      </c>
      <c r="B10" s="17">
        <f>B9-B7</f>
        <v>44120200</v>
      </c>
      <c r="C10" s="16" t="s">
        <v>419</v>
      </c>
      <c r="D10" s="16" t="s">
        <v>420</v>
      </c>
    </row>
    <row r="11" spans="1:4" ht="15" customHeight="1">
      <c r="A11" s="15" t="s">
        <v>421</v>
      </c>
      <c r="B11" s="17">
        <f>B6+B7</f>
        <v>500000000</v>
      </c>
      <c r="C11" s="16" t="s">
        <v>422</v>
      </c>
      <c r="D11" s="16" t="s">
        <v>423</v>
      </c>
    </row>
    <row r="12" spans="1:4" ht="15" customHeight="1">
      <c r="A12" s="15"/>
      <c r="B12" s="16"/>
      <c r="C12" s="16"/>
      <c r="D12" s="16"/>
    </row>
    <row r="13" spans="1:4" ht="26.85" customHeight="1">
      <c r="A13" s="15" t="s">
        <v>424</v>
      </c>
      <c r="B13" s="16" t="s">
        <v>425</v>
      </c>
      <c r="C13" s="16" t="s">
        <v>426</v>
      </c>
      <c r="D13" s="16" t="s">
        <v>427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2026-04-25T22:05:10Z</dcterms:created>
  <dcterms:modified xsi:type="dcterms:W3CDTF">2026-09-18T19:46:52Z</dcterms:modified>
  <cp:category/>
  <cp:contentStatus/>
</cp:coreProperties>
</file>